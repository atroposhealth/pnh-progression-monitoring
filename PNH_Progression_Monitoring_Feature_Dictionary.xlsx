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jason/Documents/GitHub/pnh-progression-monitoring/"/>
    </mc:Choice>
  </mc:AlternateContent>
  <xr:revisionPtr revIDLastSave="0" documentId="13_ncr:1_{60D7522E-B615-8F4B-8FDE-31F9342E1EC9}" xr6:coauthVersionLast="47" xr6:coauthVersionMax="47" xr10:uidLastSave="{00000000-0000-0000-0000-000000000000}"/>
  <bookViews>
    <workbookView xWindow="0" yWindow="700" windowWidth="29400" windowHeight="17320" xr2:uid="{00000000-000D-0000-FFFF-FFFF00000000}"/>
  </bookViews>
  <sheets>
    <sheet name="BoneMarrowFailure_BMF" sheetId="4" r:id="rId1"/>
    <sheet name="PreTreatmentVariables" sheetId="1" r:id="rId2"/>
    <sheet name="OngoingTreatmentVariables " sheetId="3" r:id="rId3"/>
    <sheet name="CCI" sheetId="2" r:id="rId4"/>
    <sheet name="POSCodes" sheetId="6" r:id="rId5"/>
  </sheets>
  <definedNames>
    <definedName name="_xlnm._FilterDatabase" localSheetId="4" hidden="1">POSCodes!$A$2:$E$62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6" l="1"/>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13" i="6"/>
  <c r="D11" i="6"/>
  <c r="D12" i="6"/>
  <c r="D4" i="6"/>
  <c r="D5" i="6"/>
  <c r="D6" i="6"/>
  <c r="D7" i="6"/>
  <c r="D8" i="6"/>
  <c r="D9" i="6"/>
  <c r="D10" i="6"/>
  <c r="D3" i="6"/>
</calcChain>
</file>

<file path=xl/sharedStrings.xml><?xml version="1.0" encoding="utf-8"?>
<sst xmlns="http://schemas.openxmlformats.org/spreadsheetml/2006/main" count="306" uniqueCount="223">
  <si>
    <t>Column</t>
  </si>
  <si>
    <t>Feature</t>
  </si>
  <si>
    <t>Type</t>
  </si>
  <si>
    <t>Lookback</t>
  </si>
  <si>
    <t>Detail Simplified</t>
  </si>
  <si>
    <t>Binary</t>
  </si>
  <si>
    <t>24 months</t>
  </si>
  <si>
    <t>Charlson Comorbidity Index (See "CCI" tab)</t>
  </si>
  <si>
    <t>Integer</t>
  </si>
  <si>
    <t>12 months</t>
  </si>
  <si>
    <t>Age in years</t>
  </si>
  <si>
    <t>Continuous</t>
  </si>
  <si>
    <t>6 months</t>
  </si>
  <si>
    <t>3 months</t>
  </si>
  <si>
    <t>Points</t>
  </si>
  <si>
    <t>Condition</t>
  </si>
  <si>
    <t>- Age &gt;= 80</t>
  </si>
  <si>
    <t>- Age &gt;= 70 &amp; &lt;80</t>
  </si>
  <si>
    <t>- Age &gt;= 60 &amp; &lt; 70</t>
  </si>
  <si>
    <t>- Age &gt;= 50 &amp; &lt;60</t>
  </si>
  <si>
    <t>Myocardial Infraction</t>
  </si>
  <si>
    <t>ANY ICD10 IN ("I21", "I22", "I25.2")</t>
  </si>
  <si>
    <t>Congestive Heart Failure</t>
  </si>
  <si>
    <t>ANY ICD10 IN ("I09.9", "I11.0", "I13.0", "I13.2", "I25.5", "I42.0", "I42.5", "I42.6", "I42.7", "I42.8", "I42.9", "I43", "I50", "P29.0")</t>
  </si>
  <si>
    <t>Peripheral Vascular Disease</t>
  </si>
  <si>
    <t>ANY ICD10 IN ("I70", "I71", "I73.1", "I73.8", "I73.9", "I77.1", "I79.0", "I79.2", "K55.1", "K55.8", "K55.9", "Z95.8", "Z95.9")</t>
  </si>
  <si>
    <t>Cerebovascular Disease</t>
  </si>
  <si>
    <t>ANY ICD10 in ("G45","G46","H34.0","I60","I61","I62","I63","I65","I66","I67","I68","I69")</t>
  </si>
  <si>
    <t>Dementia</t>
  </si>
  <si>
    <t>ANY ICD10 IN ("F00", "F01", "F02", "F03", "F05.1", "G30", "G31.1")</t>
  </si>
  <si>
    <t>Chronic Pulmonary Disease</t>
  </si>
  <si>
    <t>ANY ICD10 IN ("I27.8", "I27.9", "J40", "J41", "J42", "J43", "J44", "J45", "J46", "J47", "J60", "J61", "J62", "J63", "J64", "J65", "J66", "J67", "J68.4", "J70.1", "J70.3")</t>
  </si>
  <si>
    <t>Rheumatic Disease</t>
  </si>
  <si>
    <t>ANY ICD10 IN ("M05", "M06", "M31.5", "M32", "M33", "M34", "M35.1", "M35.3", "M36.0")</t>
  </si>
  <si>
    <t>Peptic Ulcer Disease</t>
  </si>
  <si>
    <t>ANY ICD10 IN ("K25", "K26", "K27", "K28")</t>
  </si>
  <si>
    <t>Mild Liver Disease</t>
  </si>
  <si>
    <t>ANY ICD10 IN ("B18", "K70.0", "K70.1", "K70.2", "K70.3", "K70.9", "K71.3", "K71.4", "K71.5", "K71.7", "K73", "K74", "K76.0", "K76.2", "K76.3", "K76.4", "K76.8", "K76.9", "Z94.4")</t>
  </si>
  <si>
    <t>Severe Liver Disease</t>
  </si>
  <si>
    <t>Any ICD10 in ("I85.0", "I86.4", "K70.4", "K71.1", "K72.9", "K76.5", "K76.6", "K76.7")</t>
  </si>
  <si>
    <t>Diabetes without Complications</t>
  </si>
  <si>
    <t>ANY ICD10 IN ("E10.0", "E10.1", "E10.6", "E10.8", "E10.9", "E11.0", "E11.1", "E11.6", "E11.8", "E11.9", "E12.0", "E12.1", "E12.6", "E12.8", "E12.9", "E13.0", "E13.1", "E13.6", "E13.8", "E13.9", "E14.0", "E14.1", "E14.6", "E14.8", "E14.9")</t>
  </si>
  <si>
    <t>Diabetes with Complications</t>
  </si>
  <si>
    <t>ANY ICD10 IN ("E10.2", "E10.3", "E10.4", "E10.5", "E10.7", "E11.2", "E11.3", "E11.4", "E11.5", "E11.7", "E12.2", "E12.3", "E12.4", "E12.5", "E12.7", "E13.2", "E13.3", "E13.4", "E13.5", "E13.7", "E14.2", "E14.3", "E14.4", "E14.5", "E14.7")</t>
  </si>
  <si>
    <t>Hemiparaplegia</t>
  </si>
  <si>
    <t>Any ICD10 in ("G04.1", "G11.4", "G80.1", "G80.2", "G81", "G82", "G83.0", "G83.1", "G83.2", "G83.3", "G83.4", "G83.9")</t>
  </si>
  <si>
    <t>Renal Disease</t>
  </si>
  <si>
    <t>ANY ICD10 IN ("I12.0", "I13.1", "N03.2", "N03.3", "N03.4", "N03.5", "N03.6", "N03.7", "N05.2", "N05.3", "N05.4", "N05.5", "N05.6", "N05.7", "N18", "N19", "N25.0", "Z49.0", "Z49.1", "Z49.2", "Z94.0", "Z99.2")</t>
  </si>
  <si>
    <t>Malignancy</t>
  </si>
  <si>
    <t>ANY ICD10 IN ("C00-C14", "C15-C26", "C30", "C31", "C32", "C33", "C34", "C37", "C38", "C39", "C40", "C41", "C43", "C45", "C46", "C47", "C48", "C49", "C50", "C51-C58", "C60-C63", "C64-C68", "C69-C72", "C73-C75", "C76", "C81", "C82", "C83", "C84", "C85", "C88", "C90", "C91", "C92", "C93", "C94", "C95", "C96", "C97")</t>
  </si>
  <si>
    <t>Metastic Solid Tumor</t>
  </si>
  <si>
    <t>ANY ICD10 IN ("C77", "C78", "C79", "C80")</t>
  </si>
  <si>
    <t>HIV</t>
  </si>
  <si>
    <t>ICD10 = "B20"</t>
  </si>
  <si>
    <t>For "Mild Liver Disease" and "Diabetes without Complications"; these should be set to "0" if the person has the more severe forms--"Severe Liver Disease" and "Diabetes with Complications", respectively</t>
  </si>
  <si>
    <r>
      <t xml:space="preserve">Most recent </t>
    </r>
    <r>
      <rPr>
        <b/>
        <sz val="10"/>
        <color theme="1"/>
        <rFont val="Aptos Narrow"/>
      </rPr>
      <t>creatinine</t>
    </r>
    <r>
      <rPr>
        <sz val="10"/>
        <color theme="1"/>
        <rFont val="Aptos Narrow"/>
      </rPr>
      <t xml:space="preserve"> [mass/volume] in Serum or Plasma</t>
    </r>
  </si>
  <si>
    <r>
      <t xml:space="preserve">Most recent </t>
    </r>
    <r>
      <rPr>
        <b/>
        <sz val="10"/>
        <color theme="1"/>
        <rFont val="Aptos Narrow"/>
      </rPr>
      <t>hemoglobin</t>
    </r>
    <r>
      <rPr>
        <sz val="10"/>
        <color theme="1"/>
        <rFont val="Aptos Narrow"/>
      </rPr>
      <t xml:space="preserve"> [mass/volume] lab value</t>
    </r>
  </si>
  <si>
    <t>Any prior</t>
  </si>
  <si>
    <t>Diagnosis of Congestive Heart Failure</t>
  </si>
  <si>
    <t>Office visit count</t>
  </si>
  <si>
    <t>prior_value.avg.3m.alt_cont</t>
  </si>
  <si>
    <t>prior_24m.last.total.bili_cont</t>
  </si>
  <si>
    <r>
      <t xml:space="preserve">Average  </t>
    </r>
    <r>
      <rPr>
        <b/>
        <sz val="10"/>
        <color theme="1"/>
        <rFont val="Aptos Narrow"/>
      </rPr>
      <t>hemoglobin</t>
    </r>
    <r>
      <rPr>
        <sz val="10"/>
        <color theme="1"/>
        <rFont val="Aptos Narrow"/>
      </rPr>
      <t xml:space="preserve"> [mass/volume] lab value</t>
    </r>
  </si>
  <si>
    <t>All features are defined from the time of initial PNH diagnosis (ICD-10 D59.5)</t>
  </si>
  <si>
    <t>Acute Kidney Injury diagnosis</t>
  </si>
  <si>
    <t>Diagnosis of Chest Pain</t>
  </si>
  <si>
    <t>All features are defined from the time of PNH treatment following PNH diagnosis (ICD-10 D59.5)</t>
  </si>
  <si>
    <t>LOINC in ("2160-0","38483-4")  &amp; unit = "mg/dL" &amp; value in range  (0.1, 20)</t>
  </si>
  <si>
    <t>Prior thrombosis</t>
  </si>
  <si>
    <t>LOINC IN ("718-7","20509-6","30313-1","14775-1","30350-3","76769-9","30352-9") &amp; unit = "g/dL" &amp; value in range= (2, 20)</t>
  </si>
  <si>
    <t>LOINC IN ("1742-6","1743-4","1744-2") &amp; unit="U/L"&amp; value in range=(5,50000)</t>
  </si>
  <si>
    <t>LOINC="1975-2" &amp; unit="MG/DL" &amp; value in range=(0.1,100)</t>
  </si>
  <si>
    <t>ICD10 IN ("R07.1","R07.2","R07.8","R07.9")</t>
  </si>
  <si>
    <t>ravulizumab</t>
  </si>
  <si>
    <t>eculizumab</t>
  </si>
  <si>
    <t>iptacopan</t>
  </si>
  <si>
    <t>pegcetacoplan</t>
  </si>
  <si>
    <t>danicopan</t>
  </si>
  <si>
    <t>RxCUI</t>
  </si>
  <si>
    <t>PNH Treatments (https://mor.nlm.nih.gov/RxNav/)</t>
  </si>
  <si>
    <t>ICD10 IN ("I82.4","I82.5","I82.6","I82.7","I82.8","I82.9","I82.A","I82.B","O22.3","I26","O88","I82.0","I23.6","I24.0","I51.3","I63.0","I63.3","I63.6","I67.6","I74","I81","I82","O22.5","O87.3")</t>
  </si>
  <si>
    <t>ICD10 IN ("I09.9", "I11.0", "I13.0", "I13.2", "I25.5", "I42.0", "I42.5", "I42.6", "I42.7", "I42.8", "I42.9", "I43", "I50", "P29.0")</t>
  </si>
  <si>
    <t>ICD10 IN ("N17.0", "N17.1", "N17.2", "N17.8", "N17.9")</t>
  </si>
  <si>
    <t>https://github.com/atroposhealth/pnh-progression-monitoring</t>
  </si>
  <si>
    <t>ANY ICD10("D46")</t>
  </si>
  <si>
    <t>Myelodysplastic syndrome (MDS)</t>
  </si>
  <si>
    <t>Aplastic Anemia</t>
  </si>
  <si>
    <t>ANY ICD10("D61")</t>
  </si>
  <si>
    <t>Bone Marrow Failure (BMF) is</t>
  </si>
  <si>
    <t>Either MDS or Aplastic Anemia</t>
  </si>
  <si>
    <t>NO MATCHING CONCEPT</t>
  </si>
  <si>
    <t>Other place of service not identified above.</t>
  </si>
  <si>
    <t>Other Place of Service</t>
  </si>
  <si>
    <t>N/A</t>
  </si>
  <si>
    <t>Unassigned</t>
  </si>
  <si>
    <t>82-98</t>
  </si>
  <si>
    <t>LABORATORY VISIT</t>
  </si>
  <si>
    <t>A laboratory certified to perform diagnostic and/or clinical tests independent of an institution or a physician's office.</t>
  </si>
  <si>
    <t>Independent Laboratory</t>
  </si>
  <si>
    <t>73-80</t>
  </si>
  <si>
    <t>OFFICE VISIT</t>
  </si>
  <si>
    <t>A certified facility which is located in a rural medically underserved area that provides ambulatory primary medical care under the general direction of a physician.</t>
  </si>
  <si>
    <t>Rural Health Clinic</t>
  </si>
  <si>
    <t>A facility maintained by either State or local health departments that provides ambulatory primary medical care under the general direction of a physician.</t>
  </si>
  <si>
    <t>Public Health Clinic</t>
  </si>
  <si>
    <t>67-70</t>
  </si>
  <si>
    <t>A facility or location providing comprehensive medical and social services as part of the Programs of All-Inclusive Care for the Elderly (PACE). This includes, but is not limited to, primary care; social work services; restorative therapies, including physical and occupational therapy; personal care and supportive services; nutritional counseling; recreational therapy; and meals when the individual is enrolled in PACE. (Effective August 1, 2024)</t>
  </si>
  <si>
    <t>Programs of All-Inclusive Care for the Elderly (PACE) Center*</t>
  </si>
  <si>
    <t>OUTPATIENT VISIT</t>
  </si>
  <si>
    <t>A facility other than a hospital, which provides dialysis treatment, maintenance, and/or training to patients or caregivers on an ambulatory or home-care basis.</t>
  </si>
  <si>
    <t>End-Stage Renal Disease Treatment Facility</t>
  </si>
  <si>
    <t>63-64</t>
  </si>
  <si>
    <t>A facility that provides comprehensive rehabilitation services under the supervision of a physician to outpatients with physical disabilities. Services include physical therapy, occupational therapy, and speech pathology services.</t>
  </si>
  <si>
    <t>Comprehensive Outpatient Rehabilitation Facility</t>
  </si>
  <si>
    <t>A facility that provides comprehensive rehabilitation services under the supervision of a physician to inpatients with physical disabilities. Services include physical therapy, occupational therapy, speech pathology, social or psychological services, and orthotics and prosthetics services.</t>
  </si>
  <si>
    <t>Comprehensive Inpatient Rehabilitation Facility</t>
  </si>
  <si>
    <t>A location where providers administer pneumococcal pneumonia and influenza virus vaccinations and submit these services as electronic media claims, paper claims, or using the roster billing method. This generally takes place in a mass immunization setting, such as, a public health center, pharmacy, or mall but may include a physician office setting.</t>
  </si>
  <si>
    <t>Mass Immunization Center</t>
  </si>
  <si>
    <t>A location that provides treatment for opioid use disorder on an ambulatory basis. Services include methadone and other forms of Medication Assisted Treatment (MAT) (Effective January 1, 2020)</t>
  </si>
  <si>
    <t>Non-residential Opioid Treatment Facility</t>
  </si>
  <si>
    <t>A location which provides treatment for substance (alcohol and drug) abuse on an ambulatory basis. Services include individual and group therapy and counseling, family counseling, laboratory tests, drugs and supplies, and psychological testing. (Effective October 1, 2023)</t>
  </si>
  <si>
    <t>Non-residential Substance Abuse Treatment Facility</t>
  </si>
  <si>
    <t>A facility or distinct part of a facility for psychiatric care which provides a total 24-hour therapeutically planned and professionally staffed group living and learning environment.</t>
  </si>
  <si>
    <t>Psychiatric Residential Treatment Center</t>
  </si>
  <si>
    <t>A facility which provides treatment for substance (alcohol and drug) abuse to live-in residents who do not require acute medical care. Services include individual and group therapy and counseling, family counseling, laboratory tests, drugs and supplies, psychological testing, and room and board.</t>
  </si>
  <si>
    <t>Residential Substance Abuse Treatment Facility</t>
  </si>
  <si>
    <t>A facility which primarily provides health-related care and services above the level of custodial care to individuals but does not provide the level of care or treatment available in a hospital or SNF.</t>
  </si>
  <si>
    <t>Intermediate Care Facility/ Individuals with Intellectual Disabilities</t>
  </si>
  <si>
    <t>A facility that provides the following services: outpatient services, including specialized outpatient services for children, the elderly, individuals who are chronically ill, and residents of the CMHC's mental health services area who have been discharged from inpatient treatment at a mental health facility; 24 hour a day emergency care services; day treatment, other partial hospitalization services, or psychosocial rehabilitation services; screening for patients being considered for admission to State mental health facilities to determine the appropriateness of such admission; and consultation and education services.</t>
  </si>
  <si>
    <t>Community Mental Health Center</t>
  </si>
  <si>
    <t>A facility for the diagnosis and treatment of mental illness that provides a planned therapeutic program for patients who do not require full time hospitalization, but who need broader programs than are possible from outpatient visits to a hospital-based or hospital-affiliated facility.</t>
  </si>
  <si>
    <t>Psychiatric Facility-Partial Hospitalization</t>
  </si>
  <si>
    <t>INPATIENT VISIT</t>
  </si>
  <si>
    <t>A facility that provides inpatient psychiatric services for the diagnosis and treatment of mental illness on a 24-hour basis, by or under the supervision of a physician.</t>
  </si>
  <si>
    <t>Inpatient Psychiatric Facility</t>
  </si>
  <si>
    <t>A facility located in a medically underserved area that provides Medicare beneficiaries preventive primary medical care under the general direction of a physician.</t>
  </si>
  <si>
    <t>Federally Qualified Health Center</t>
  </si>
  <si>
    <t>A location, not part of a hospital and not described by any other Place of Service code, that is organized and operated to provide preventive, diagnostic, therapeutic, rehabilitative, or palliative services to outpatients only. (Effective October 1, 2023)</t>
  </si>
  <si>
    <t>Independent Clinic</t>
  </si>
  <si>
    <t>43-48</t>
  </si>
  <si>
    <t>AMBULANCE</t>
  </si>
  <si>
    <t>An air or water vehicle specifically designed, equipped and staffed for lifesaving and transporting the sick or injured.</t>
  </si>
  <si>
    <t>Ambulance – Air or Water</t>
  </si>
  <si>
    <t>A land vehicle specifically designed, equipped and staffed for lifesaving and transporting the sick or injured.</t>
  </si>
  <si>
    <t>Ambulance - Land</t>
  </si>
  <si>
    <t>35-40</t>
  </si>
  <si>
    <t>HOSPICE</t>
  </si>
  <si>
    <t>A facility, other than a patient's home, in which palliative and supportive care for terminally ill patients and their families are provided.</t>
  </si>
  <si>
    <t>Hospice</t>
  </si>
  <si>
    <t>NURSING FACILITY</t>
  </si>
  <si>
    <t>A facility which provides room, board and other personal assistance services, generally on a long-term basis, and which does not include a medical component.</t>
  </si>
  <si>
    <t>Custodial Care Facility</t>
  </si>
  <si>
    <t>A facility which primarily provides to residents skilled nursing care and related services for the rehabilitation of injured, disabled, or sick persons, or, on a regular basis, health-related care services above the level of custodial care to other than individuals with intellectual disabilities.</t>
  </si>
  <si>
    <t>Nursing Facility</t>
  </si>
  <si>
    <t>A facility which primarily provides inpatient skilled nursing care and related services to patients who require medical, nursing, or rehabilitative services but does not provide the level of care or treatment available in a hospital.</t>
  </si>
  <si>
    <t>Skilled Nursing Facility</t>
  </si>
  <si>
    <t>28-30</t>
  </si>
  <si>
    <t>A non-permanent location on the street or found environment, not described by any other POS code, where health professionals provide preventive, screening, diagnostic, and/or treatment services to unsheltered homeless individuals. (Effective October 1, 2023)</t>
  </si>
  <si>
    <t>Outreach Site/ Street</t>
  </si>
  <si>
    <t>A medical facility operated by one or more of the Uniformed Services. Military Treatment Facility (MTF) also refers to certain former U.S. Public Health Service (USPHS) facilities now designated as Uniformed Service Treatment Facilities (USTF).</t>
  </si>
  <si>
    <t>Military Treatment Facility</t>
  </si>
  <si>
    <t>BIRTHING CENTER</t>
  </si>
  <si>
    <t>A facility, other than a hospital's maternity facilities or a physician's office, which provides a setting for labor, delivery, and immediate post-partum care as well as immediate care of new born infants.</t>
  </si>
  <si>
    <t>Birthing Center</t>
  </si>
  <si>
    <t>A freestanding facility, other than a physician's office, where surgical and diagnostic services are provided on an ambulatory basis.</t>
  </si>
  <si>
    <t>Ambulatory Surgical Center</t>
  </si>
  <si>
    <t>EMERGENCY ROOM VISIT</t>
  </si>
  <si>
    <t>A portion of a hospital where emergency diagnosis and treatment of illness or injury is provided.</t>
  </si>
  <si>
    <t>Emergency Room – Hospital</t>
  </si>
  <si>
    <t>A portion of a hospital’s main campus which provides diagnostic, therapeutic (both surgical and nonsurgical), and rehabilitation services to sick or injured persons who do not require hospitalization or institutionalization. (Description change effective January 1, 2016)</t>
  </si>
  <si>
    <t>On Campus-Outpatient Hospital</t>
  </si>
  <si>
    <t>A facility, other than psychiatric, which primarily provides diagnostic, therapeutic (both surgical and nonsurgical), and rehabilitation services by, or under, the supervision of physicians to patients admitted for a variety of medical conditions.</t>
  </si>
  <si>
    <t>Inpatient Hospital</t>
  </si>
  <si>
    <t>URGENT CARE VISIT</t>
  </si>
  <si>
    <t>Location, distinct from a hospital emergency room, an office, or a clinic, whose purpose is to diagnose and treat illness or injury for unscheduled, ambulatory patients seeking immediate medical attention. (Effective January 1, 2003)</t>
  </si>
  <si>
    <t>Urgent Care Facility</t>
  </si>
  <si>
    <t>A portion of an off-campus hospital provider based department which provides diagnostic, therapeutic (both surgical and nonsurgical), and rehabilitation services to sick or injured persons who do not require hospitalization or institutionalization. (Effective January 1, 2016)</t>
  </si>
  <si>
    <t>Off Campus-Outpatient Hospital</t>
  </si>
  <si>
    <t>A location, not described by any other POS code, owned or operated by a public or private entity where the patient is employed, and where a health professional provides on-going or episodic occupational medical, therapeutic or rehabilitative services to the individual. (This code is available for use effective January 1, 2013 but no later than May 1, 2013)</t>
  </si>
  <si>
    <t>Place of Employment-
Worksite</t>
  </si>
  <si>
    <t>A walk-in health clinic, other than an office, urgent care facility, pharmacy or independent clinic and not described by any other Place of Service code, that is located within a retail operation and provides, on an ambulatory basis, preventive and primary care services. (This code is available for use immediately with a final effective date of May 1, 2010)</t>
  </si>
  <si>
    <t>Walk-in Retail Health Clinic</t>
  </si>
  <si>
    <t>A short term accommodation such as a hotel, camp ground, hostel, cruise ship or resort where the patient receives care, and which is not identified by any other POS code. (Effective January 1, 2008)</t>
  </si>
  <si>
    <t>Temporary Lodging</t>
  </si>
  <si>
    <t>A facility/unit that moves from place-to-place equipped to provide preventive, screening, diagnostic, and/or treatment services. (Effective January 1, 2003)</t>
  </si>
  <si>
    <t>Mobile Unit</t>
  </si>
  <si>
    <t>A residence, with shared living areas, where clients receive supervision and other services such as social and/or behavioral services, custodial service, and minimal services (e.g., medication administration). (Effective October 1, 2003) (Revised, effective April 1, 2004)</t>
  </si>
  <si>
    <t>Group Home</t>
  </si>
  <si>
    <t>Congregate residential facility with self-contained living units providing assessment of each resident's needs and on-site support 24 hours a day, 7 days a week, with the capacity to deliver or arrange for services including some health care and other services. (Effective October 1, 2003)</t>
  </si>
  <si>
    <t>Assisted Living Facility</t>
  </si>
  <si>
    <t>HOME VISIT</t>
  </si>
  <si>
    <t>Location, other than a hospital or other facility, where the patient receives care in a private residence.</t>
  </si>
  <si>
    <t>Home</t>
  </si>
  <si>
    <t>Location, other than a hospital, skilled nursing facility (SNF), military treatment facility, community health center, State or local public health clinic, or intermediate care facility (ICF), where the health professional routinely provides health examinations, diagnosis, and treatment of illness or injury on an ambulatory basis.</t>
  </si>
  <si>
    <t>Office</t>
  </si>
  <si>
    <t>TELEHEALTH</t>
  </si>
  <si>
    <t>The location where health services and health related services are provided or received, through telecommunication technology. Patient is located in their home (which is a location other than a hospital or other facility where the patient receives care in a private residence) when receiving health services or health related services through telecommunication technology. (This code is effective January 1, 2022, and available to Medicare April 1, 2022.)</t>
  </si>
  <si>
    <t>Telehealth Provided in Patient’s Home</t>
  </si>
  <si>
    <t>A prison, jail, reformatory, work farm, detention center, or any other similar facility maintained by either Federal, State or local authorities for the purpose of confinement or rehabilitation of adult or juvenile criminal offenders. (Effective July 1, 2006)</t>
  </si>
  <si>
    <t>Prison/ Correctional Facility</t>
  </si>
  <si>
    <t>A facility or location owned and operated by a federally recognized American Indian or Alaska Native tribe or tribal organization under a 638 agreement, which provides diagnostic, therapeutic (surgical and non-surgical), and rehabilitation services to tribal members admitted as inpatients or outpatients. (Effective January 1, 2003)</t>
  </si>
  <si>
    <t>Tribal 638 Provider-based Facility</t>
  </si>
  <si>
    <t>A facility or location owned and operated by a federally recognized American Indian or Alaska Native tribe or tribal organization under a 638 agreement, which provides diagnostic, therapeutic (surgical and non-surgical), and rehabilitation services to tribal members who do not require hospitalization. (Effective January 1, 2003)</t>
  </si>
  <si>
    <t>Tribal 638 Free-standing Facility</t>
  </si>
  <si>
    <t>A facility or location, owned and operated by the Indian Health Service, which provides diagnostic, therapeutic (surgical and non-surgical), and rehabilitation services rendered by, or under the supervision of, physicians to American Indians and Alaska Natives admitted as inpatients or outpatients. (Effective January 1, 2003)</t>
  </si>
  <si>
    <t>Indian Health Service Provider-based Facility</t>
  </si>
  <si>
    <t>A facility or location, owned and operated by the Indian Health Service, which provides diagnostic, therapeutic (surgical and non-surgical), and rehabilitation services to American Indians and Alaska Natives who do not require hospitalization. (Effective January 1, 2003)</t>
  </si>
  <si>
    <t>Indian Health Service Free-standing Facility</t>
  </si>
  <si>
    <t>A facility or location whose primary purpose is to provide temporary housing to homeless individuals (e.g., emergency shelters, individual or family shelters). (Effective January 1, 2003)</t>
  </si>
  <si>
    <t>Homeless Shelter</t>
  </si>
  <si>
    <t>A facility whose primary purpose is education. (Effective January 1, 2003)</t>
  </si>
  <si>
    <t>School</t>
  </si>
  <si>
    <t>The location where health services and health related services are provided or received, through telecommunication technology. Patient is not located in their home when receiving health services or health related services through telecommunication technology.  (Effective January 1, 2017) (Description change effective January 1, 2022, and applicable for Medicare April 1, 2022.)</t>
  </si>
  <si>
    <t>Telehealth Provided Other than in Patient’s Home</t>
  </si>
  <si>
    <t>PHARMACY VISIT</t>
  </si>
  <si>
    <t>A facility or location where drugs and other medically related items and services are sold, dispensed, or otherwise provided directly to patients. (Effective October 1, 2003) (Revised, effective October 1, 2005)</t>
  </si>
  <si>
    <t>Pharmacy</t>
  </si>
  <si>
    <t>POS_Code_Desc</t>
  </si>
  <si>
    <t>POS_Code_Name</t>
  </si>
  <si>
    <t>POS_Code</t>
  </si>
  <si>
    <t>Pulled from https://www.cms.gov/medicare/coding-billing/place-of-service-codes/code-sets (2024-05-02)</t>
  </si>
  <si>
    <t>Mapping</t>
  </si>
  <si>
    <t>Medication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</si>
</sst>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2"/>
      <color theme="1"/>
      <name val="Arial"/>
      <family val="2"/>
      <scheme val="minor"/>
    </font>
    <font>
      <b/>
      <sz val="10"/>
      <color rgb="FFFFFFFF"/>
      <name val="Aptos Narrow"/>
    </font>
    <font>
      <sz val="10"/>
      <color rgb="FFFFFFFF"/>
      <name val="Aptos Narrow"/>
    </font>
    <font>
      <sz val="10"/>
      <color rgb="FF000000"/>
      <name val="Aptos Narrow"/>
    </font>
    <font>
      <b/>
      <sz val="10"/>
      <color rgb="FF000000"/>
      <name val="Aptos Narrow"/>
    </font>
    <font>
      <b/>
      <sz val="10"/>
      <color theme="1"/>
      <name val="Aptos Narrow"/>
    </font>
    <font>
      <sz val="10"/>
      <color theme="1"/>
      <name val="Aptos Narrow"/>
    </font>
    <font>
      <i/>
      <sz val="10"/>
      <color theme="1"/>
      <name val="Aptos Narrow"/>
    </font>
  </fonts>
  <fills count="6">
    <fill>
      <patternFill patternType="none"/>
    </fill>
    <fill>
      <patternFill patternType="gray125"/>
    </fill>
    <fill>
      <patternFill patternType="solid">
        <fgColor rgb="FF38761D"/>
        <bgColor rgb="FF38761D"/>
      </patternFill>
    </fill>
    <fill>
      <patternFill patternType="solid">
        <fgColor rgb="FFD0E0E3"/>
        <bgColor rgb="FFD0E0E3"/>
      </patternFill>
    </fill>
    <fill>
      <patternFill patternType="solid">
        <fgColor rgb="FFFFF2CC"/>
        <bgColor rgb="FFFFF2CC"/>
      </patternFill>
    </fill>
    <fill>
      <patternFill patternType="solid">
        <fgColor theme="4" tint="0.79998168889431442"/>
        <bgColor indexed="64"/>
      </patternFill>
    </fill>
  </fills>
  <borders count="4">
    <border>
      <left/>
      <right/>
      <top/>
      <bottom/>
      <diagonal/>
    </border>
    <border>
      <left/>
      <right/>
      <top/>
      <bottom style="thick">
        <color rgb="FF000000"/>
      </bottom>
      <diagonal/>
    </border>
    <border>
      <left/>
      <right/>
      <top/>
      <bottom style="thin">
        <color rgb="FF000000"/>
      </bottom>
      <diagonal/>
    </border>
    <border>
      <left/>
      <right/>
      <top/>
      <bottom style="medium">
        <color indexed="64"/>
      </bottom>
      <diagonal/>
    </border>
  </borders>
  <cellStyleXfs count="2">
    <xf numFmtId="0" fontId="0" fillId="0" borderId="0"/>
    <xf numFmtId="0" fontId="1" fillId="0" borderId="0"/>
  </cellStyleXfs>
  <cellXfs count="38">
    <xf numFmtId="0" fontId="0" fillId="0" borderId="0" xfId="0"/>
    <xf numFmtId="0" fontId="2" fillId="2" borderId="0" xfId="0" applyFont="1" applyFill="1" applyAlignment="1">
      <alignment vertical="top"/>
    </xf>
    <xf numFmtId="0" fontId="2" fillId="2" borderId="0" xfId="0" applyFont="1" applyFill="1" applyAlignment="1">
      <alignment horizontal="left" vertical="top"/>
    </xf>
    <xf numFmtId="0" fontId="2" fillId="2" borderId="0" xfId="0" applyFont="1" applyFill="1" applyAlignment="1">
      <alignment horizontal="left" vertical="top" wrapText="1"/>
    </xf>
    <xf numFmtId="0" fontId="3" fillId="2" borderId="0" xfId="0" applyFont="1" applyFill="1" applyAlignment="1">
      <alignment vertical="top"/>
    </xf>
    <xf numFmtId="0" fontId="4" fillId="0" borderId="0" xfId="0" applyFont="1"/>
    <xf numFmtId="0" fontId="5" fillId="3" borderId="0" xfId="0" applyFont="1" applyFill="1" applyAlignment="1">
      <alignment horizontal="center" vertical="top"/>
    </xf>
    <xf numFmtId="0" fontId="6" fillId="3" borderId="0" xfId="0" applyFont="1" applyFill="1" applyAlignment="1">
      <alignment vertical="top"/>
    </xf>
    <xf numFmtId="0" fontId="6" fillId="3" borderId="0" xfId="0" applyFont="1" applyFill="1" applyAlignment="1">
      <alignment horizontal="left" vertical="top"/>
    </xf>
    <xf numFmtId="0" fontId="6" fillId="3" borderId="0" xfId="0" applyFont="1" applyFill="1" applyAlignment="1">
      <alignment horizontal="left" vertical="top" wrapText="1"/>
    </xf>
    <xf numFmtId="0" fontId="7" fillId="0" borderId="0" xfId="0" applyFont="1" applyAlignment="1">
      <alignment vertical="top"/>
    </xf>
    <xf numFmtId="0" fontId="4" fillId="0" borderId="0" xfId="0" applyFont="1" applyAlignment="1">
      <alignment horizontal="center" vertical="top" wrapText="1"/>
    </xf>
    <xf numFmtId="0" fontId="7" fillId="0" borderId="0" xfId="0" applyFont="1" applyAlignment="1">
      <alignment vertical="top" wrapText="1"/>
    </xf>
    <xf numFmtId="0" fontId="7" fillId="0" borderId="0" xfId="0" applyFont="1" applyAlignment="1">
      <alignment horizontal="left" vertical="top" wrapText="1"/>
    </xf>
    <xf numFmtId="0" fontId="4" fillId="0" borderId="0" xfId="0" applyFont="1" applyAlignment="1">
      <alignment horizontal="center" vertical="top"/>
    </xf>
    <xf numFmtId="0" fontId="7" fillId="0" borderId="0" xfId="0" applyFont="1" applyAlignment="1">
      <alignment horizontal="left" vertical="top"/>
    </xf>
    <xf numFmtId="0" fontId="7" fillId="0" borderId="0" xfId="0" applyFont="1" applyAlignment="1">
      <alignment horizontal="center" vertical="top"/>
    </xf>
    <xf numFmtId="0" fontId="5" fillId="3" borderId="1" xfId="0" applyFont="1" applyFill="1" applyBorder="1" applyAlignment="1">
      <alignment horizontal="center" vertical="top"/>
    </xf>
    <xf numFmtId="0" fontId="6" fillId="3" borderId="1" xfId="0" applyFont="1" applyFill="1" applyBorder="1" applyAlignment="1">
      <alignment vertical="top"/>
    </xf>
    <xf numFmtId="0" fontId="6" fillId="3" borderId="1" xfId="0" applyFont="1" applyFill="1" applyBorder="1" applyAlignment="1">
      <alignment vertical="top" wrapText="1"/>
    </xf>
    <xf numFmtId="0" fontId="4" fillId="0" borderId="0" xfId="0" applyFont="1" applyAlignment="1">
      <alignment vertical="top"/>
    </xf>
    <xf numFmtId="0" fontId="7" fillId="0" borderId="0" xfId="0" quotePrefix="1" applyFont="1" applyAlignment="1">
      <alignment vertical="top"/>
    </xf>
    <xf numFmtId="0" fontId="7" fillId="0" borderId="2" xfId="0" applyFont="1" applyBorder="1" applyAlignment="1">
      <alignment horizontal="center" vertical="top"/>
    </xf>
    <xf numFmtId="0" fontId="7" fillId="0" borderId="2" xfId="0" quotePrefix="1" applyFont="1" applyBorder="1" applyAlignment="1">
      <alignment vertical="top"/>
    </xf>
    <xf numFmtId="0" fontId="7" fillId="0" borderId="2" xfId="0" applyFont="1" applyBorder="1" applyAlignment="1">
      <alignment horizontal="left" vertical="top" wrapText="1"/>
    </xf>
    <xf numFmtId="0" fontId="4" fillId="0" borderId="0" xfId="0" applyFont="1" applyAlignment="1">
      <alignment horizontal="left" vertical="top" wrapText="1"/>
    </xf>
    <xf numFmtId="0" fontId="7" fillId="4" borderId="0" xfId="0" applyFont="1" applyFill="1" applyAlignment="1">
      <alignment horizontal="center" vertical="top"/>
    </xf>
    <xf numFmtId="0" fontId="7" fillId="4" borderId="0" xfId="0" applyFont="1" applyFill="1" applyAlignment="1">
      <alignment vertical="top"/>
    </xf>
    <xf numFmtId="0" fontId="7" fillId="4" borderId="0" xfId="0" applyFont="1" applyFill="1" applyAlignment="1">
      <alignment horizontal="left" vertical="top" wrapText="1"/>
    </xf>
    <xf numFmtId="0" fontId="4" fillId="0" borderId="0" xfId="0" applyFont="1" applyAlignment="1">
      <alignment vertical="top" wrapText="1"/>
    </xf>
    <xf numFmtId="0" fontId="7" fillId="4" borderId="0" xfId="0" applyFont="1" applyFill="1" applyAlignment="1">
      <alignment horizontal="left" vertical="top"/>
    </xf>
    <xf numFmtId="0" fontId="6" fillId="3" borderId="0" xfId="0" applyFont="1" applyFill="1" applyAlignment="1">
      <alignment horizontal="right" vertical="top"/>
    </xf>
    <xf numFmtId="0" fontId="7" fillId="0" borderId="0" xfId="1" applyFont="1"/>
    <xf numFmtId="0" fontId="6" fillId="5" borderId="3" xfId="1" applyFont="1" applyFill="1" applyBorder="1"/>
    <xf numFmtId="0" fontId="6" fillId="0" borderId="0" xfId="1" applyFont="1"/>
    <xf numFmtId="0" fontId="8" fillId="0" borderId="0" xfId="1" applyFont="1"/>
    <xf numFmtId="0" fontId="2" fillId="2" borderId="0" xfId="0" applyFont="1" applyFill="1" applyAlignment="1">
      <alignment horizontal="left" vertical="top"/>
    </xf>
    <xf numFmtId="0" fontId="8" fillId="0" borderId="0" xfId="1" applyFont="1" applyAlignment="1">
      <alignment horizontal="left"/>
    </xf>
  </cellXfs>
  <cellStyles count="2">
    <cellStyle name="Normal" xfId="0" builtinId="0"/>
    <cellStyle name="Normal 2" xfId="1" xr:uid="{63B04CCF-B094-F04B-BE61-02F4025DF6B3}"/>
  </cellStyles>
  <dxfs count="1">
    <dxf>
      <font>
        <b/>
        <i val="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github.com/atroposhealth/pnh-progression-monitoring"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atroposhealth/pnh-progression-monito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8C569-8F31-DF45-A423-C00A75644291}">
  <sheetPr>
    <outlinePr summaryBelow="0" summaryRight="0"/>
  </sheetPr>
  <dimension ref="A1:V5"/>
  <sheetViews>
    <sheetView tabSelected="1" workbookViewId="0">
      <pane xSplit="1" ySplit="1" topLeftCell="B2" activePane="bottomRight" state="frozen"/>
      <selection pane="topRight" activeCell="C1" sqref="C1"/>
      <selection pane="bottomLeft" activeCell="A2" sqref="A2"/>
      <selection pane="bottomRight" activeCell="A2" sqref="A2"/>
    </sheetView>
  </sheetViews>
  <sheetFormatPr baseColWidth="10" defaultColWidth="12.6640625" defaultRowHeight="14" x14ac:dyDescent="0.15"/>
  <cols>
    <col min="1" max="1" width="25.33203125" style="20" customWidth="1"/>
    <col min="2" max="2" width="102.83203125" style="29" customWidth="1"/>
    <col min="3" max="16384" width="12.6640625" style="20"/>
  </cols>
  <sheetData>
    <row r="1" spans="1:22" ht="15" thickBot="1" x14ac:dyDescent="0.2">
      <c r="A1" s="18" t="s">
        <v>15</v>
      </c>
      <c r="B1" s="19"/>
      <c r="C1" s="8"/>
      <c r="D1" s="8"/>
      <c r="E1" s="10"/>
      <c r="F1" s="10"/>
      <c r="G1" s="10"/>
      <c r="H1" s="10"/>
      <c r="I1" s="10"/>
      <c r="J1" s="10"/>
      <c r="K1" s="10"/>
      <c r="L1" s="10"/>
      <c r="M1" s="10"/>
      <c r="N1" s="10"/>
      <c r="O1" s="10"/>
      <c r="P1" s="10"/>
      <c r="Q1" s="10"/>
      <c r="R1" s="10"/>
      <c r="S1" s="10"/>
      <c r="T1" s="10"/>
      <c r="U1" s="10"/>
      <c r="V1" s="10"/>
    </row>
    <row r="2" spans="1:22" ht="16" thickTop="1" x14ac:dyDescent="0.15">
      <c r="A2" s="10" t="s">
        <v>85</v>
      </c>
      <c r="B2" s="13" t="s">
        <v>84</v>
      </c>
    </row>
    <row r="3" spans="1:22" ht="15" x14ac:dyDescent="0.15">
      <c r="A3" s="10" t="s">
        <v>86</v>
      </c>
      <c r="B3" s="13" t="s">
        <v>87</v>
      </c>
      <c r="C3" s="10"/>
      <c r="D3" s="10"/>
      <c r="E3" s="10"/>
      <c r="F3" s="10"/>
      <c r="G3" s="10"/>
      <c r="H3" s="10"/>
      <c r="I3" s="10"/>
      <c r="J3" s="10"/>
      <c r="K3" s="10"/>
      <c r="L3" s="10"/>
      <c r="M3" s="10"/>
      <c r="N3" s="10"/>
      <c r="O3" s="10"/>
      <c r="P3" s="10"/>
      <c r="Q3" s="10"/>
      <c r="R3" s="10"/>
      <c r="S3" s="10"/>
      <c r="T3" s="10"/>
    </row>
    <row r="5" spans="1:22" ht="15" x14ac:dyDescent="0.15">
      <c r="A5" s="20" t="s">
        <v>88</v>
      </c>
      <c r="B5" s="29"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83"/>
  <sheetViews>
    <sheetView workbookViewId="0">
      <pane xSplit="2" ySplit="3" topLeftCell="C4" activePane="bottomRight" state="frozen"/>
      <selection pane="topRight" activeCell="C1" sqref="C1"/>
      <selection pane="bottomLeft" activeCell="A4" sqref="A4"/>
      <selection pane="bottomRight" activeCell="A2" sqref="A2"/>
    </sheetView>
  </sheetViews>
  <sheetFormatPr baseColWidth="10" defaultColWidth="12.6640625" defaultRowHeight="15.75" customHeight="1" x14ac:dyDescent="0.2"/>
  <cols>
    <col min="1" max="1" width="8" style="5" customWidth="1"/>
    <col min="2" max="2" width="46.1640625" style="5" customWidth="1"/>
    <col min="3" max="3" width="12.6640625" style="5"/>
    <col min="4" max="4" width="14" style="5" customWidth="1"/>
    <col min="5" max="5" width="122" style="5" bestFit="1" customWidth="1"/>
    <col min="6" max="16384" width="12.6640625" style="5"/>
  </cols>
  <sheetData>
    <row r="1" spans="1:22" ht="15.75" customHeight="1" x14ac:dyDescent="0.2">
      <c r="A1" s="36" t="s">
        <v>83</v>
      </c>
      <c r="B1" s="36"/>
      <c r="C1" s="1"/>
      <c r="D1" s="2"/>
      <c r="E1" s="3"/>
      <c r="F1" s="4"/>
      <c r="G1" s="4"/>
      <c r="H1" s="4"/>
      <c r="I1" s="4"/>
      <c r="J1" s="4"/>
      <c r="K1" s="4"/>
      <c r="L1" s="4"/>
      <c r="M1" s="4"/>
      <c r="N1" s="4"/>
      <c r="O1" s="4"/>
      <c r="P1" s="4"/>
      <c r="Q1" s="4"/>
      <c r="R1" s="4"/>
      <c r="S1" s="4"/>
      <c r="T1" s="4"/>
      <c r="U1" s="4"/>
      <c r="V1" s="4"/>
    </row>
    <row r="2" spans="1:22" ht="15.75" customHeight="1" x14ac:dyDescent="0.2">
      <c r="A2" s="2" t="s">
        <v>63</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0" t="s">
        <v>68</v>
      </c>
      <c r="C4" s="10" t="s">
        <v>5</v>
      </c>
      <c r="D4" s="10" t="s">
        <v>57</v>
      </c>
      <c r="E4" s="12" t="s">
        <v>80</v>
      </c>
      <c r="F4" s="10"/>
      <c r="G4" s="10"/>
      <c r="H4" s="10"/>
      <c r="I4" s="10"/>
      <c r="J4" s="10"/>
      <c r="K4" s="10"/>
      <c r="L4" s="10"/>
      <c r="M4" s="10"/>
      <c r="N4" s="10"/>
      <c r="O4" s="10"/>
      <c r="P4" s="10"/>
      <c r="Q4" s="10"/>
      <c r="R4" s="10"/>
      <c r="S4" s="10"/>
      <c r="T4" s="10"/>
      <c r="U4" s="10"/>
      <c r="V4" s="10"/>
    </row>
    <row r="5" spans="1:22" ht="15.75" customHeight="1" x14ac:dyDescent="0.2">
      <c r="A5" s="11">
        <v>2</v>
      </c>
      <c r="B5" s="12" t="s">
        <v>7</v>
      </c>
      <c r="C5" s="12" t="s">
        <v>8</v>
      </c>
      <c r="D5" s="15"/>
      <c r="E5" s="13"/>
      <c r="F5" s="10"/>
      <c r="G5" s="10"/>
      <c r="H5" s="10"/>
      <c r="I5" s="10"/>
      <c r="J5" s="10"/>
      <c r="K5" s="10"/>
      <c r="L5" s="10"/>
      <c r="M5" s="10"/>
      <c r="N5" s="10"/>
      <c r="O5" s="10"/>
      <c r="P5" s="10"/>
      <c r="Q5" s="10"/>
      <c r="R5" s="10"/>
      <c r="S5" s="10"/>
      <c r="T5" s="10"/>
      <c r="U5" s="10"/>
      <c r="V5" s="10"/>
    </row>
    <row r="6" spans="1:22" ht="15.75" customHeight="1" x14ac:dyDescent="0.2">
      <c r="A6" s="11">
        <v>3</v>
      </c>
      <c r="B6" s="12" t="s">
        <v>10</v>
      </c>
      <c r="C6" s="12" t="s">
        <v>11</v>
      </c>
      <c r="D6" s="10"/>
      <c r="E6" s="12"/>
      <c r="F6" s="10"/>
      <c r="G6" s="10"/>
      <c r="H6" s="10"/>
      <c r="I6" s="10"/>
      <c r="J6" s="10"/>
      <c r="K6" s="10"/>
      <c r="L6" s="10"/>
      <c r="M6" s="10"/>
      <c r="N6" s="10"/>
      <c r="O6" s="10"/>
      <c r="P6" s="10"/>
      <c r="Q6" s="10"/>
      <c r="R6" s="10"/>
      <c r="S6" s="10"/>
      <c r="T6" s="10"/>
      <c r="U6" s="10"/>
      <c r="V6" s="10"/>
    </row>
    <row r="7" spans="1:22" ht="15.75" customHeight="1" x14ac:dyDescent="0.2">
      <c r="A7" s="11">
        <v>4</v>
      </c>
      <c r="B7" s="12" t="s">
        <v>56</v>
      </c>
      <c r="C7" s="12" t="s">
        <v>11</v>
      </c>
      <c r="D7" s="13" t="s">
        <v>12</v>
      </c>
      <c r="E7" s="13" t="s">
        <v>69</v>
      </c>
      <c r="F7" s="10"/>
      <c r="G7" s="10"/>
      <c r="H7" s="10"/>
      <c r="I7" s="10"/>
      <c r="J7" s="10"/>
      <c r="K7" s="10"/>
      <c r="L7" s="10"/>
      <c r="M7" s="10"/>
      <c r="N7" s="10"/>
      <c r="O7" s="10"/>
      <c r="P7" s="10"/>
      <c r="Q7" s="10"/>
      <c r="R7" s="10"/>
      <c r="S7" s="10"/>
      <c r="T7" s="10"/>
      <c r="U7" s="10"/>
      <c r="V7" s="10"/>
    </row>
    <row r="8" spans="1:22" ht="15.75" customHeight="1" x14ac:dyDescent="0.2">
      <c r="A8" s="11">
        <v>5</v>
      </c>
      <c r="B8" s="10" t="s">
        <v>64</v>
      </c>
      <c r="C8" s="10" t="s">
        <v>5</v>
      </c>
      <c r="D8" s="10" t="s">
        <v>6</v>
      </c>
      <c r="E8" s="12" t="s">
        <v>82</v>
      </c>
      <c r="F8" s="10"/>
      <c r="G8" s="10"/>
      <c r="H8" s="10"/>
      <c r="I8" s="10"/>
      <c r="J8" s="10"/>
      <c r="K8" s="10"/>
      <c r="L8" s="10"/>
      <c r="M8" s="10"/>
      <c r="N8" s="10"/>
      <c r="O8" s="10"/>
      <c r="P8" s="10"/>
      <c r="Q8" s="10"/>
      <c r="R8" s="10"/>
      <c r="S8" s="10"/>
      <c r="T8" s="10"/>
      <c r="U8" s="10"/>
      <c r="V8" s="10"/>
    </row>
    <row r="9" spans="1:22" ht="15.75" customHeight="1" x14ac:dyDescent="0.2">
      <c r="A9" s="11">
        <v>6</v>
      </c>
      <c r="B9" s="10" t="s">
        <v>59</v>
      </c>
      <c r="C9" s="10" t="s">
        <v>8</v>
      </c>
      <c r="D9" s="10" t="s">
        <v>13</v>
      </c>
      <c r="E9" s="12"/>
      <c r="F9" s="10"/>
      <c r="G9" s="10"/>
      <c r="H9" s="10"/>
      <c r="I9" s="10"/>
      <c r="J9" s="10"/>
      <c r="K9" s="10"/>
      <c r="L9" s="10"/>
      <c r="M9" s="10"/>
      <c r="N9" s="10"/>
      <c r="O9" s="10"/>
      <c r="P9" s="10"/>
      <c r="Q9" s="10"/>
      <c r="R9" s="10"/>
      <c r="S9" s="10"/>
      <c r="T9" s="10"/>
      <c r="U9" s="10"/>
      <c r="V9" s="10"/>
    </row>
    <row r="10" spans="1:22" ht="15.75" customHeight="1" x14ac:dyDescent="0.2">
      <c r="A10" s="11">
        <v>7</v>
      </c>
      <c r="B10" s="10" t="s">
        <v>58</v>
      </c>
      <c r="C10" s="10" t="s">
        <v>5</v>
      </c>
      <c r="D10" s="10" t="s">
        <v>57</v>
      </c>
      <c r="E10" s="12" t="s">
        <v>81</v>
      </c>
      <c r="F10" s="10"/>
      <c r="G10" s="10"/>
      <c r="H10" s="10"/>
      <c r="I10" s="10"/>
      <c r="J10" s="10"/>
      <c r="K10" s="10"/>
      <c r="L10" s="10"/>
      <c r="M10" s="10"/>
      <c r="N10" s="10"/>
      <c r="O10" s="10"/>
      <c r="P10" s="10"/>
      <c r="Q10" s="10"/>
      <c r="R10" s="10"/>
      <c r="S10" s="10"/>
      <c r="T10" s="10"/>
      <c r="U10" s="10"/>
      <c r="V10" s="10"/>
    </row>
    <row r="11" spans="1:22" ht="15.75" customHeight="1" x14ac:dyDescent="0.2">
      <c r="A11" s="10"/>
      <c r="B11" s="10"/>
      <c r="C11" s="10"/>
      <c r="D11" s="10"/>
      <c r="E11" s="12"/>
      <c r="F11" s="10"/>
      <c r="G11" s="10"/>
      <c r="H11" s="10"/>
      <c r="I11" s="10"/>
      <c r="J11" s="10"/>
      <c r="K11" s="10"/>
      <c r="L11" s="10"/>
      <c r="M11" s="10"/>
      <c r="N11" s="10"/>
      <c r="O11" s="10"/>
      <c r="P11" s="10"/>
      <c r="Q11" s="10"/>
      <c r="R11" s="10"/>
      <c r="S11" s="10"/>
      <c r="T11" s="10"/>
      <c r="U11" s="10"/>
      <c r="V11" s="10"/>
    </row>
    <row r="12" spans="1:22" ht="15.75" customHeight="1" x14ac:dyDescent="0.2">
      <c r="A12" s="10"/>
      <c r="B12" s="10"/>
      <c r="C12" s="10"/>
      <c r="D12" s="10"/>
      <c r="E12" s="12"/>
      <c r="F12" s="10"/>
      <c r="G12" s="10"/>
      <c r="H12" s="10"/>
      <c r="I12" s="10"/>
      <c r="J12" s="10"/>
      <c r="K12" s="10"/>
      <c r="L12" s="10"/>
      <c r="M12" s="10"/>
      <c r="N12" s="10"/>
      <c r="O12" s="10"/>
      <c r="P12" s="10"/>
      <c r="Q12" s="10"/>
      <c r="R12" s="10"/>
      <c r="S12" s="10"/>
      <c r="T12" s="10"/>
      <c r="U12" s="10"/>
      <c r="V12" s="10"/>
    </row>
    <row r="13" spans="1:22" ht="15.75" customHeight="1" x14ac:dyDescent="0.2">
      <c r="A13" s="10"/>
      <c r="B13" s="10"/>
      <c r="C13" s="10"/>
      <c r="D13" s="10"/>
      <c r="E13" s="12"/>
      <c r="F13" s="10"/>
      <c r="G13" s="10"/>
      <c r="H13" s="10"/>
      <c r="I13" s="10"/>
      <c r="J13" s="10"/>
      <c r="K13" s="10"/>
      <c r="L13" s="10"/>
      <c r="M13" s="10"/>
      <c r="N13" s="10"/>
      <c r="O13" s="10"/>
      <c r="P13" s="10"/>
      <c r="Q13" s="10"/>
      <c r="R13" s="10"/>
      <c r="S13" s="10"/>
      <c r="T13" s="10"/>
      <c r="U13" s="10"/>
      <c r="V13" s="10"/>
    </row>
    <row r="14" spans="1:22" ht="15.75" customHeight="1" x14ac:dyDescent="0.2">
      <c r="A14" s="14"/>
      <c r="B14" s="10"/>
      <c r="C14" s="10"/>
      <c r="D14" s="15"/>
      <c r="E14" s="13"/>
      <c r="F14" s="10"/>
      <c r="G14" s="10"/>
      <c r="H14" s="10"/>
      <c r="I14" s="10"/>
      <c r="J14" s="10"/>
      <c r="K14" s="10"/>
      <c r="L14" s="10"/>
      <c r="M14" s="10"/>
      <c r="N14" s="10"/>
      <c r="O14" s="10"/>
      <c r="P14" s="10"/>
      <c r="Q14" s="10"/>
      <c r="R14" s="10"/>
      <c r="S14" s="10"/>
      <c r="T14" s="10"/>
      <c r="U14" s="10"/>
      <c r="V14" s="10"/>
    </row>
    <row r="15" spans="1:22" ht="15.75" customHeight="1" x14ac:dyDescent="0.2">
      <c r="A15" s="10"/>
      <c r="B15" s="10"/>
      <c r="C15" s="10"/>
      <c r="D15" s="10"/>
      <c r="E15" s="12"/>
      <c r="F15" s="10"/>
      <c r="G15" s="10"/>
      <c r="H15" s="10"/>
      <c r="I15" s="10"/>
      <c r="J15" s="10"/>
      <c r="K15" s="10"/>
      <c r="L15" s="10"/>
      <c r="M15" s="10"/>
      <c r="N15" s="10"/>
      <c r="O15" s="10"/>
      <c r="P15" s="10"/>
      <c r="Q15" s="10"/>
      <c r="R15" s="10"/>
      <c r="S15" s="10"/>
      <c r="T15" s="10"/>
      <c r="U15" s="10"/>
      <c r="V15" s="10"/>
    </row>
    <row r="16" spans="1:22" ht="15.75" customHeight="1" x14ac:dyDescent="0.2">
      <c r="A16" s="10"/>
      <c r="B16" s="10"/>
      <c r="C16" s="10"/>
      <c r="D16" s="10"/>
      <c r="E16" s="12"/>
      <c r="F16" s="10"/>
      <c r="G16" s="10"/>
      <c r="H16" s="10"/>
      <c r="I16" s="10"/>
      <c r="J16" s="10"/>
      <c r="K16" s="10"/>
      <c r="L16" s="10"/>
      <c r="M16" s="10"/>
      <c r="N16" s="10"/>
      <c r="O16" s="10"/>
      <c r="P16" s="10"/>
      <c r="Q16" s="10"/>
      <c r="R16" s="10"/>
      <c r="S16" s="10"/>
      <c r="T16" s="10"/>
      <c r="U16" s="10"/>
      <c r="V16" s="10"/>
    </row>
    <row r="17" spans="1:22" ht="15.75" customHeight="1" x14ac:dyDescent="0.2">
      <c r="A17" s="14"/>
      <c r="B17" s="10"/>
      <c r="C17" s="10"/>
      <c r="D17" s="15"/>
      <c r="E17" s="13"/>
      <c r="F17" s="10"/>
      <c r="G17" s="10"/>
      <c r="H17" s="10"/>
      <c r="I17" s="10"/>
      <c r="J17" s="10"/>
      <c r="K17" s="10"/>
      <c r="L17" s="10"/>
      <c r="M17" s="10"/>
      <c r="N17" s="10"/>
      <c r="O17" s="10"/>
      <c r="P17" s="10"/>
      <c r="Q17" s="10"/>
      <c r="R17" s="10"/>
      <c r="S17" s="10"/>
      <c r="T17" s="10"/>
      <c r="U17" s="10"/>
      <c r="V17" s="10"/>
    </row>
    <row r="18" spans="1:22" ht="15.75" customHeight="1" x14ac:dyDescent="0.2">
      <c r="A18" s="14"/>
      <c r="B18" s="10"/>
      <c r="C18" s="10"/>
      <c r="D18" s="15"/>
      <c r="E18" s="13"/>
      <c r="F18" s="10"/>
      <c r="G18" s="10"/>
      <c r="H18" s="10"/>
      <c r="I18" s="10"/>
      <c r="J18" s="10"/>
      <c r="K18" s="10"/>
      <c r="L18" s="10"/>
      <c r="M18" s="10"/>
      <c r="N18" s="10"/>
      <c r="O18" s="10"/>
      <c r="P18" s="10"/>
      <c r="Q18" s="10"/>
      <c r="R18" s="10"/>
      <c r="S18" s="10"/>
      <c r="T18" s="10"/>
      <c r="U18" s="10"/>
      <c r="V18" s="10"/>
    </row>
    <row r="19" spans="1:22" ht="15.75" customHeight="1" x14ac:dyDescent="0.2">
      <c r="A19" s="14"/>
      <c r="B19" s="10"/>
      <c r="C19" s="10"/>
      <c r="D19" s="15"/>
      <c r="E19" s="13"/>
      <c r="F19" s="10"/>
      <c r="G19" s="10"/>
      <c r="H19" s="10"/>
      <c r="I19" s="10"/>
      <c r="J19" s="10"/>
      <c r="K19" s="10"/>
      <c r="L19" s="10"/>
      <c r="M19" s="10"/>
      <c r="N19" s="10"/>
      <c r="O19" s="10"/>
      <c r="P19" s="10"/>
      <c r="Q19" s="10"/>
      <c r="R19" s="10"/>
      <c r="S19" s="10"/>
      <c r="T19" s="10"/>
      <c r="U19" s="10"/>
      <c r="V19" s="10"/>
    </row>
    <row r="20" spans="1:22" ht="15.75" customHeight="1" x14ac:dyDescent="0.2">
      <c r="A20" s="14"/>
      <c r="B20" s="10"/>
      <c r="C20" s="10"/>
      <c r="D20" s="15"/>
      <c r="E20" s="13"/>
      <c r="F20" s="10"/>
      <c r="G20" s="10"/>
      <c r="H20" s="10"/>
      <c r="I20" s="10"/>
      <c r="J20" s="10"/>
      <c r="K20" s="10"/>
      <c r="L20" s="10"/>
      <c r="M20" s="10"/>
      <c r="N20" s="10"/>
      <c r="O20" s="10"/>
      <c r="P20" s="10"/>
      <c r="Q20" s="10"/>
      <c r="R20" s="10"/>
      <c r="S20" s="10"/>
      <c r="T20" s="10"/>
      <c r="U20" s="10"/>
      <c r="V20" s="10"/>
    </row>
    <row r="21" spans="1:22" ht="15.75" customHeight="1" x14ac:dyDescent="0.2">
      <c r="A21" s="16"/>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4"/>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4"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4"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4"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4"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6"/>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6"/>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6"/>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6"/>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sheetData>
  <mergeCells count="1">
    <mergeCell ref="A1:B1"/>
  </mergeCells>
  <hyperlinks>
    <hyperlink ref="A1" r:id="rId1" xr:uid="{00000000-0004-0000-00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E6205-6225-A047-BFC0-FFFAA807EBB1}">
  <sheetPr>
    <outlinePr summaryBelow="0" summaryRight="0"/>
  </sheetPr>
  <dimension ref="A1:V987"/>
  <sheetViews>
    <sheetView workbookViewId="0">
      <pane xSplit="2" ySplit="3" topLeftCell="C4" activePane="bottomRight" state="frozen"/>
      <selection pane="topRight" activeCell="C1" sqref="C1"/>
      <selection pane="bottomLeft" activeCell="A4" sqref="A4"/>
      <selection pane="bottomRight" activeCell="B12" sqref="B12"/>
    </sheetView>
  </sheetViews>
  <sheetFormatPr baseColWidth="10" defaultColWidth="12.6640625" defaultRowHeight="15.75" customHeight="1" x14ac:dyDescent="0.2"/>
  <cols>
    <col min="1" max="1" width="8" style="5" customWidth="1"/>
    <col min="2" max="2" width="40.33203125" style="5" bestFit="1" customWidth="1"/>
    <col min="3" max="3" width="12.6640625" style="5"/>
    <col min="4" max="4" width="14" style="5" customWidth="1"/>
    <col min="5" max="5" width="83.1640625" style="5" bestFit="1" customWidth="1"/>
    <col min="6" max="16384" width="12.6640625" style="5"/>
  </cols>
  <sheetData>
    <row r="1" spans="1:22" ht="15.75" customHeight="1" x14ac:dyDescent="0.2">
      <c r="A1" s="36" t="s">
        <v>83</v>
      </c>
      <c r="B1" s="36"/>
      <c r="C1" s="1"/>
      <c r="D1" s="2"/>
      <c r="E1" s="3"/>
      <c r="F1" s="4"/>
      <c r="G1" s="4"/>
      <c r="H1" s="4"/>
      <c r="I1" s="4"/>
      <c r="J1" s="4"/>
      <c r="K1" s="4"/>
      <c r="L1" s="4"/>
      <c r="M1" s="4"/>
      <c r="N1" s="4"/>
      <c r="O1" s="4"/>
      <c r="P1" s="4"/>
      <c r="Q1" s="4"/>
      <c r="R1" s="4"/>
      <c r="S1" s="4"/>
      <c r="T1" s="4"/>
      <c r="U1" s="4"/>
      <c r="V1" s="4"/>
    </row>
    <row r="2" spans="1:22" ht="15.75" customHeight="1" x14ac:dyDescent="0.2">
      <c r="A2" s="2" t="s">
        <v>66</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2" t="s">
        <v>62</v>
      </c>
      <c r="C4" s="12" t="s">
        <v>11</v>
      </c>
      <c r="D4" s="13" t="s">
        <v>13</v>
      </c>
      <c r="E4" s="13" t="s">
        <v>69</v>
      </c>
      <c r="F4" s="10"/>
      <c r="G4" s="10"/>
      <c r="H4" s="10"/>
      <c r="I4" s="10"/>
      <c r="J4" s="10"/>
      <c r="K4" s="10"/>
      <c r="L4" s="10"/>
      <c r="M4" s="10"/>
      <c r="N4" s="10"/>
      <c r="O4" s="10"/>
      <c r="P4" s="10"/>
      <c r="Q4" s="10"/>
      <c r="R4" s="10"/>
      <c r="S4" s="10"/>
      <c r="T4" s="10"/>
      <c r="U4" s="10"/>
      <c r="V4" s="10"/>
    </row>
    <row r="5" spans="1:22" ht="15.75" customHeight="1" x14ac:dyDescent="0.2">
      <c r="A5" s="11">
        <v>2</v>
      </c>
      <c r="B5" s="12" t="s">
        <v>60</v>
      </c>
      <c r="C5" s="12" t="s">
        <v>11</v>
      </c>
      <c r="D5" s="15" t="s">
        <v>13</v>
      </c>
      <c r="E5" s="13" t="s">
        <v>70</v>
      </c>
      <c r="F5" s="10"/>
      <c r="G5" s="10"/>
      <c r="H5" s="10"/>
      <c r="I5" s="10"/>
      <c r="J5" s="10"/>
      <c r="K5" s="10"/>
      <c r="L5" s="10"/>
      <c r="M5" s="10"/>
      <c r="N5" s="10"/>
      <c r="O5" s="10"/>
      <c r="P5" s="10"/>
      <c r="Q5" s="10"/>
      <c r="R5" s="10"/>
      <c r="S5" s="10"/>
      <c r="T5" s="10"/>
      <c r="U5" s="10"/>
      <c r="V5" s="10"/>
    </row>
    <row r="6" spans="1:22" ht="15.75" customHeight="1" x14ac:dyDescent="0.2">
      <c r="A6" s="11">
        <v>3</v>
      </c>
      <c r="B6" s="12" t="s">
        <v>55</v>
      </c>
      <c r="C6" s="12" t="s">
        <v>11</v>
      </c>
      <c r="D6" s="10" t="s">
        <v>9</v>
      </c>
      <c r="E6" s="13" t="s">
        <v>67</v>
      </c>
      <c r="F6" s="10"/>
      <c r="G6" s="10"/>
      <c r="H6" s="10"/>
      <c r="I6" s="10"/>
      <c r="J6" s="10"/>
      <c r="K6" s="10"/>
      <c r="L6" s="10"/>
      <c r="M6" s="10"/>
      <c r="N6" s="10"/>
      <c r="O6" s="10"/>
      <c r="P6" s="10"/>
      <c r="Q6" s="10"/>
      <c r="R6" s="10"/>
      <c r="S6" s="10"/>
      <c r="T6" s="10"/>
      <c r="U6" s="10"/>
      <c r="V6" s="10"/>
    </row>
    <row r="7" spans="1:22" ht="15.75" customHeight="1" x14ac:dyDescent="0.2">
      <c r="A7" s="11">
        <v>4</v>
      </c>
      <c r="B7" s="12" t="s">
        <v>61</v>
      </c>
      <c r="C7" s="12" t="s">
        <v>11</v>
      </c>
      <c r="D7" s="13" t="s">
        <v>6</v>
      </c>
      <c r="E7" s="13" t="s">
        <v>71</v>
      </c>
      <c r="F7" s="10"/>
      <c r="G7" s="10"/>
      <c r="H7" s="10"/>
      <c r="I7" s="10"/>
      <c r="J7" s="10"/>
      <c r="K7" s="10"/>
      <c r="L7" s="10"/>
      <c r="M7" s="10"/>
      <c r="N7" s="10"/>
      <c r="O7" s="10"/>
      <c r="P7" s="10"/>
      <c r="Q7" s="10"/>
      <c r="R7" s="10"/>
      <c r="S7" s="10"/>
      <c r="T7" s="10"/>
      <c r="U7" s="10"/>
      <c r="V7" s="10"/>
    </row>
    <row r="8" spans="1:22" ht="15.75" customHeight="1" x14ac:dyDescent="0.2">
      <c r="A8" s="11">
        <v>5</v>
      </c>
      <c r="B8" s="10" t="s">
        <v>65</v>
      </c>
      <c r="C8" s="10" t="s">
        <v>5</v>
      </c>
      <c r="D8" s="10" t="s">
        <v>6</v>
      </c>
      <c r="E8" s="12" t="s">
        <v>72</v>
      </c>
      <c r="F8" s="10"/>
      <c r="G8" s="10"/>
      <c r="H8" s="10"/>
      <c r="I8" s="10"/>
      <c r="J8" s="10"/>
      <c r="K8" s="10"/>
      <c r="L8" s="10"/>
      <c r="M8" s="10"/>
      <c r="N8" s="10"/>
      <c r="O8" s="10"/>
      <c r="P8" s="10"/>
      <c r="Q8" s="10"/>
      <c r="R8" s="10"/>
      <c r="S8" s="10"/>
      <c r="T8" s="10"/>
      <c r="U8" s="10"/>
      <c r="V8" s="10"/>
    </row>
    <row r="9" spans="1:22" ht="15.75" customHeight="1" x14ac:dyDescent="0.2">
      <c r="A9" s="11"/>
      <c r="B9" s="10"/>
      <c r="C9" s="10"/>
      <c r="D9" s="10"/>
      <c r="E9" s="12"/>
      <c r="F9" s="10"/>
      <c r="G9" s="10"/>
      <c r="H9" s="10"/>
      <c r="I9" s="10"/>
      <c r="J9" s="10"/>
      <c r="K9" s="10"/>
      <c r="L9" s="10"/>
      <c r="M9" s="10"/>
      <c r="N9" s="10"/>
      <c r="O9" s="10"/>
      <c r="P9" s="10"/>
      <c r="Q9" s="10"/>
      <c r="R9" s="10"/>
      <c r="S9" s="10"/>
      <c r="T9" s="10"/>
      <c r="U9" s="10"/>
      <c r="V9" s="10"/>
    </row>
    <row r="10" spans="1:22" ht="15.75" customHeight="1" x14ac:dyDescent="0.2">
      <c r="A10" s="11"/>
      <c r="B10" s="12"/>
      <c r="C10" s="12"/>
      <c r="D10" s="13"/>
      <c r="E10" s="13"/>
      <c r="F10" s="10"/>
      <c r="G10" s="10"/>
      <c r="H10" s="10"/>
      <c r="I10" s="10"/>
      <c r="J10" s="10"/>
      <c r="K10" s="10"/>
      <c r="L10" s="10"/>
      <c r="M10" s="10"/>
      <c r="N10" s="10"/>
      <c r="O10" s="10"/>
      <c r="P10" s="10"/>
      <c r="Q10" s="10"/>
      <c r="R10" s="10"/>
      <c r="S10" s="10"/>
      <c r="T10" s="10"/>
      <c r="U10" s="10"/>
      <c r="V10" s="10"/>
    </row>
    <row r="11" spans="1:22" ht="15.75" customHeight="1" x14ac:dyDescent="0.2">
      <c r="A11" s="2" t="s">
        <v>79</v>
      </c>
      <c r="B11" s="1"/>
      <c r="C11" s="1"/>
      <c r="D11" s="10"/>
      <c r="E11" s="12"/>
      <c r="F11" s="10"/>
      <c r="G11" s="10"/>
      <c r="H11" s="10"/>
      <c r="I11" s="10"/>
      <c r="J11" s="10"/>
      <c r="K11" s="10"/>
      <c r="L11" s="10"/>
      <c r="M11" s="10"/>
      <c r="N11" s="10"/>
      <c r="O11" s="10"/>
      <c r="P11" s="10"/>
      <c r="Q11" s="10"/>
      <c r="R11" s="10"/>
      <c r="S11" s="10"/>
      <c r="T11" s="10"/>
      <c r="U11" s="10"/>
      <c r="V11" s="10"/>
    </row>
    <row r="12" spans="1:22" ht="15.75" customHeight="1" x14ac:dyDescent="0.2">
      <c r="A12" s="6"/>
      <c r="B12" s="7" t="s">
        <v>222</v>
      </c>
      <c r="C12" s="31" t="s">
        <v>78</v>
      </c>
      <c r="D12" s="10"/>
      <c r="E12" s="12"/>
      <c r="F12" s="10"/>
      <c r="G12" s="10"/>
      <c r="H12" s="10"/>
      <c r="I12" s="10"/>
      <c r="J12" s="10"/>
      <c r="K12" s="10"/>
      <c r="L12" s="10"/>
      <c r="M12" s="10"/>
      <c r="N12" s="10"/>
      <c r="O12" s="10"/>
      <c r="P12" s="10"/>
      <c r="Q12" s="10"/>
      <c r="R12" s="10"/>
      <c r="S12" s="10"/>
      <c r="T12" s="10"/>
      <c r="U12" s="10"/>
      <c r="V12" s="10"/>
    </row>
    <row r="13" spans="1:22" ht="15.75" customHeight="1" x14ac:dyDescent="0.2">
      <c r="B13" s="10" t="s">
        <v>73</v>
      </c>
      <c r="C13" s="10">
        <v>2107301</v>
      </c>
      <c r="D13" s="10"/>
      <c r="E13" s="10"/>
      <c r="F13" s="10"/>
      <c r="G13" s="10"/>
      <c r="H13" s="10"/>
      <c r="I13" s="10"/>
      <c r="J13" s="10"/>
      <c r="K13" s="10"/>
      <c r="L13" s="10"/>
      <c r="M13" s="10"/>
      <c r="N13" s="10"/>
      <c r="O13" s="10"/>
      <c r="P13" s="10"/>
      <c r="Q13" s="10"/>
      <c r="R13" s="10"/>
    </row>
    <row r="14" spans="1:22" ht="15.75" customHeight="1" x14ac:dyDescent="0.2">
      <c r="B14" s="10" t="s">
        <v>74</v>
      </c>
      <c r="C14" s="10">
        <v>591781</v>
      </c>
      <c r="D14" s="10"/>
      <c r="E14" s="10"/>
      <c r="F14" s="10"/>
      <c r="G14" s="10"/>
      <c r="H14" s="10"/>
      <c r="I14" s="10"/>
      <c r="J14" s="10"/>
      <c r="K14" s="10"/>
      <c r="L14" s="10"/>
      <c r="M14" s="10"/>
      <c r="N14" s="10"/>
      <c r="O14" s="10"/>
      <c r="P14" s="10"/>
      <c r="Q14" s="10"/>
      <c r="R14" s="10"/>
    </row>
    <row r="15" spans="1:22" ht="15.75" customHeight="1" x14ac:dyDescent="0.2">
      <c r="B15" s="10" t="s">
        <v>75</v>
      </c>
      <c r="C15" s="10">
        <v>2671061</v>
      </c>
      <c r="D15" s="10"/>
      <c r="E15" s="10"/>
      <c r="F15" s="10"/>
      <c r="G15" s="10"/>
      <c r="H15" s="10"/>
      <c r="I15" s="10"/>
      <c r="J15" s="10"/>
      <c r="K15" s="10"/>
      <c r="L15" s="10"/>
      <c r="M15" s="10"/>
      <c r="N15" s="10"/>
      <c r="O15" s="10"/>
      <c r="P15" s="10"/>
      <c r="Q15" s="10"/>
      <c r="R15" s="10"/>
    </row>
    <row r="16" spans="1:22" ht="15.75" customHeight="1" x14ac:dyDescent="0.2">
      <c r="B16" s="10" t="s">
        <v>76</v>
      </c>
      <c r="C16" s="10">
        <v>2557372</v>
      </c>
      <c r="D16" s="10"/>
      <c r="E16" s="10"/>
      <c r="F16" s="10"/>
      <c r="G16" s="10"/>
      <c r="H16" s="10"/>
      <c r="I16" s="10"/>
      <c r="J16" s="10"/>
      <c r="K16" s="10"/>
      <c r="L16" s="10"/>
      <c r="M16" s="10"/>
      <c r="N16" s="10"/>
      <c r="O16" s="10"/>
      <c r="P16" s="10"/>
      <c r="Q16" s="10"/>
      <c r="R16" s="10"/>
    </row>
    <row r="17" spans="1:22" ht="15.75" customHeight="1" x14ac:dyDescent="0.2">
      <c r="B17" s="10" t="s">
        <v>77</v>
      </c>
      <c r="C17" s="10">
        <v>2678952</v>
      </c>
      <c r="D17" s="10"/>
      <c r="E17" s="10"/>
      <c r="F17" s="10"/>
      <c r="G17" s="10"/>
      <c r="H17" s="10"/>
      <c r="I17" s="10"/>
      <c r="J17" s="10"/>
      <c r="K17" s="10"/>
      <c r="L17" s="10"/>
      <c r="M17" s="10"/>
      <c r="N17" s="10"/>
      <c r="O17" s="10"/>
      <c r="P17" s="10"/>
      <c r="Q17" s="10"/>
      <c r="R17" s="10"/>
    </row>
    <row r="18" spans="1:22" ht="15.75" customHeight="1" x14ac:dyDescent="0.2">
      <c r="A18" s="10"/>
      <c r="B18" s="10"/>
      <c r="C18" s="10"/>
      <c r="D18" s="10"/>
      <c r="E18" s="12"/>
      <c r="F18" s="10"/>
      <c r="G18" s="10"/>
      <c r="H18" s="10"/>
      <c r="I18" s="10"/>
      <c r="J18" s="10"/>
      <c r="K18" s="10"/>
      <c r="L18" s="10"/>
      <c r="M18" s="10"/>
      <c r="N18" s="10"/>
      <c r="O18" s="10"/>
      <c r="P18" s="10"/>
      <c r="Q18" s="10"/>
      <c r="R18" s="10"/>
      <c r="S18" s="10"/>
      <c r="T18" s="10"/>
      <c r="U18" s="10"/>
      <c r="V18" s="10"/>
    </row>
    <row r="19" spans="1:22" ht="15.75" customHeight="1" x14ac:dyDescent="0.2">
      <c r="A19" s="10"/>
      <c r="B19" s="10"/>
      <c r="C19" s="10"/>
      <c r="D19" s="10"/>
      <c r="E19" s="12"/>
      <c r="F19" s="10"/>
      <c r="G19" s="10"/>
      <c r="H19" s="10"/>
      <c r="I19" s="10"/>
      <c r="J19" s="10"/>
      <c r="K19" s="10"/>
      <c r="L19" s="10"/>
      <c r="M19" s="10"/>
      <c r="N19" s="10"/>
      <c r="O19" s="10"/>
      <c r="P19" s="10"/>
      <c r="Q19" s="10"/>
      <c r="R19" s="10"/>
      <c r="S19" s="10"/>
      <c r="T19" s="10"/>
      <c r="U19" s="10"/>
      <c r="V19" s="10"/>
    </row>
    <row r="20" spans="1:22" ht="15.75" customHeight="1" x14ac:dyDescent="0.2">
      <c r="A20" s="10"/>
      <c r="B20" s="10"/>
      <c r="C20" s="10"/>
      <c r="D20" s="10"/>
      <c r="E20" s="12"/>
      <c r="F20" s="10"/>
      <c r="G20" s="10"/>
      <c r="H20" s="10"/>
      <c r="I20" s="10"/>
      <c r="J20" s="10"/>
      <c r="K20" s="10"/>
      <c r="L20" s="10"/>
      <c r="M20" s="10"/>
      <c r="N20" s="10"/>
      <c r="O20" s="10"/>
      <c r="P20" s="10"/>
      <c r="Q20" s="10"/>
      <c r="R20" s="10"/>
      <c r="S20" s="10"/>
      <c r="T20" s="10"/>
      <c r="U20" s="10"/>
      <c r="V20" s="10"/>
    </row>
    <row r="21" spans="1:22" ht="15.75" customHeight="1" x14ac:dyDescent="0.2">
      <c r="A21" s="14"/>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6"/>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5.75" customHeight="1"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5.75" customHeight="1"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5.75" customHeight="1"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5.75" customHeight="1"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4"/>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4"/>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4"/>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4"/>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row r="984" spans="1:22" ht="14" x14ac:dyDescent="0.2">
      <c r="A984" s="16"/>
      <c r="B984" s="10"/>
      <c r="C984" s="10"/>
      <c r="D984" s="15"/>
      <c r="E984" s="13"/>
      <c r="F984" s="10"/>
      <c r="G984" s="10"/>
      <c r="H984" s="10"/>
      <c r="I984" s="10"/>
      <c r="J984" s="10"/>
      <c r="K984" s="10"/>
      <c r="L984" s="10"/>
      <c r="M984" s="10"/>
      <c r="N984" s="10"/>
      <c r="O984" s="10"/>
      <c r="P984" s="10"/>
      <c r="Q984" s="10"/>
      <c r="R984" s="10"/>
      <c r="S984" s="10"/>
      <c r="T984" s="10"/>
      <c r="U984" s="10"/>
      <c r="V984" s="10"/>
    </row>
    <row r="985" spans="1:22" ht="14" x14ac:dyDescent="0.2">
      <c r="A985" s="16"/>
      <c r="B985" s="10"/>
      <c r="C985" s="10"/>
      <c r="D985" s="15"/>
      <c r="E985" s="13"/>
      <c r="F985" s="10"/>
      <c r="G985" s="10"/>
      <c r="H985" s="10"/>
      <c r="I985" s="10"/>
      <c r="J985" s="10"/>
      <c r="K985" s="10"/>
      <c r="L985" s="10"/>
      <c r="M985" s="10"/>
      <c r="N985" s="10"/>
      <c r="O985" s="10"/>
      <c r="P985" s="10"/>
      <c r="Q985" s="10"/>
      <c r="R985" s="10"/>
      <c r="S985" s="10"/>
      <c r="T985" s="10"/>
      <c r="U985" s="10"/>
      <c r="V985" s="10"/>
    </row>
    <row r="986" spans="1:22" ht="14" x14ac:dyDescent="0.2">
      <c r="A986" s="16"/>
      <c r="B986" s="10"/>
      <c r="C986" s="10"/>
      <c r="D986" s="15"/>
      <c r="E986" s="13"/>
      <c r="F986" s="10"/>
      <c r="G986" s="10"/>
      <c r="H986" s="10"/>
      <c r="I986" s="10"/>
      <c r="J986" s="10"/>
      <c r="K986" s="10"/>
      <c r="L986" s="10"/>
      <c r="M986" s="10"/>
      <c r="N986" s="10"/>
      <c r="O986" s="10"/>
      <c r="P986" s="10"/>
      <c r="Q986" s="10"/>
      <c r="R986" s="10"/>
      <c r="S986" s="10"/>
      <c r="T986" s="10"/>
      <c r="U986" s="10"/>
      <c r="V986" s="10"/>
    </row>
    <row r="987" spans="1:22" ht="14" x14ac:dyDescent="0.2">
      <c r="A987" s="16"/>
      <c r="B987" s="10"/>
      <c r="C987" s="10"/>
      <c r="D987" s="15"/>
      <c r="E987" s="13"/>
      <c r="F987" s="10"/>
      <c r="G987" s="10"/>
      <c r="H987" s="10"/>
      <c r="I987" s="10"/>
      <c r="J987" s="10"/>
      <c r="K987" s="10"/>
      <c r="L987" s="10"/>
      <c r="M987" s="10"/>
      <c r="N987" s="10"/>
      <c r="O987" s="10"/>
      <c r="P987" s="10"/>
      <c r="Q987" s="10"/>
      <c r="R987" s="10"/>
      <c r="S987" s="10"/>
      <c r="T987" s="10"/>
      <c r="U987" s="10"/>
      <c r="V987" s="10"/>
    </row>
  </sheetData>
  <mergeCells count="1">
    <mergeCell ref="A1:B1"/>
  </mergeCells>
  <hyperlinks>
    <hyperlink ref="A1" r:id="rId1" xr:uid="{1CAB21DD-AE6C-6046-A731-E5A670C47B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996"/>
  <sheetViews>
    <sheetView workbookViewId="0">
      <pane xSplit="2" ySplit="1" topLeftCell="C2" activePane="bottomRight" state="frozen"/>
      <selection pane="topRight" activeCell="C1" sqref="C1"/>
      <selection pane="bottomLeft" activeCell="A2" sqref="A2"/>
      <selection pane="bottomRight" activeCell="C7" sqref="C7"/>
    </sheetView>
  </sheetViews>
  <sheetFormatPr baseColWidth="10" defaultColWidth="12.6640625" defaultRowHeight="14" x14ac:dyDescent="0.15"/>
  <cols>
    <col min="1" max="1" width="5.6640625" style="20" customWidth="1"/>
    <col min="2" max="2" width="25.33203125" style="20" customWidth="1"/>
    <col min="3" max="3" width="102.83203125" style="29" customWidth="1"/>
    <col min="4" max="16384" width="12.6640625" style="20"/>
  </cols>
  <sheetData>
    <row r="1" spans="1:23" x14ac:dyDescent="0.15">
      <c r="A1" s="17" t="s">
        <v>14</v>
      </c>
      <c r="B1" s="18" t="s">
        <v>15</v>
      </c>
      <c r="C1" s="19"/>
      <c r="D1" s="8"/>
      <c r="E1" s="8"/>
      <c r="F1" s="10"/>
      <c r="G1" s="10"/>
      <c r="H1" s="10"/>
      <c r="I1" s="10"/>
      <c r="J1" s="10"/>
      <c r="K1" s="10"/>
      <c r="L1" s="10"/>
      <c r="M1" s="10"/>
      <c r="N1" s="10"/>
      <c r="O1" s="10"/>
      <c r="P1" s="10"/>
      <c r="Q1" s="10"/>
      <c r="R1" s="10"/>
      <c r="S1" s="10"/>
      <c r="T1" s="10"/>
      <c r="U1" s="10"/>
      <c r="V1" s="10"/>
      <c r="W1" s="10"/>
    </row>
    <row r="2" spans="1:23" x14ac:dyDescent="0.15">
      <c r="A2" s="16">
        <v>4</v>
      </c>
      <c r="B2" s="21" t="s">
        <v>16</v>
      </c>
      <c r="C2" s="13"/>
    </row>
    <row r="3" spans="1:23" x14ac:dyDescent="0.15">
      <c r="A3" s="16">
        <v>3</v>
      </c>
      <c r="B3" s="21" t="s">
        <v>17</v>
      </c>
      <c r="C3" s="13"/>
    </row>
    <row r="4" spans="1:23" x14ac:dyDescent="0.15">
      <c r="A4" s="16">
        <v>2</v>
      </c>
      <c r="B4" s="21" t="s">
        <v>18</v>
      </c>
      <c r="C4" s="13"/>
    </row>
    <row r="5" spans="1:23" x14ac:dyDescent="0.15">
      <c r="A5" s="22">
        <v>1</v>
      </c>
      <c r="B5" s="23" t="s">
        <v>19</v>
      </c>
      <c r="C5" s="24"/>
    </row>
    <row r="6" spans="1:23" ht="15" x14ac:dyDescent="0.15">
      <c r="A6" s="16">
        <v>1</v>
      </c>
      <c r="B6" s="10" t="s">
        <v>20</v>
      </c>
      <c r="C6" s="13" t="s">
        <v>21</v>
      </c>
    </row>
    <row r="7" spans="1:23" ht="15" x14ac:dyDescent="0.15">
      <c r="A7" s="14">
        <v>1</v>
      </c>
      <c r="B7" s="10" t="s">
        <v>22</v>
      </c>
      <c r="C7" s="13" t="s">
        <v>23</v>
      </c>
      <c r="D7" s="10"/>
      <c r="E7" s="10"/>
      <c r="F7" s="10"/>
      <c r="G7" s="10"/>
      <c r="H7" s="10"/>
      <c r="I7" s="10"/>
      <c r="J7" s="10"/>
      <c r="K7" s="10"/>
      <c r="L7" s="10"/>
      <c r="M7" s="10"/>
      <c r="N7" s="10"/>
      <c r="O7" s="10"/>
      <c r="P7" s="10"/>
      <c r="Q7" s="10"/>
      <c r="R7" s="10"/>
      <c r="S7" s="10"/>
      <c r="T7" s="10"/>
      <c r="U7" s="10"/>
    </row>
    <row r="8" spans="1:23" ht="15" x14ac:dyDescent="0.15">
      <c r="A8" s="14">
        <v>1</v>
      </c>
      <c r="B8" s="10" t="s">
        <v>24</v>
      </c>
      <c r="C8" s="13" t="s">
        <v>25</v>
      </c>
      <c r="D8" s="10"/>
      <c r="E8" s="10"/>
      <c r="F8" s="10"/>
      <c r="G8" s="10"/>
      <c r="H8" s="10"/>
      <c r="I8" s="10"/>
      <c r="J8" s="10"/>
      <c r="K8" s="10"/>
      <c r="L8" s="10"/>
      <c r="M8" s="10"/>
      <c r="N8" s="10"/>
      <c r="O8" s="10"/>
      <c r="P8" s="10"/>
      <c r="Q8" s="10"/>
      <c r="R8" s="10"/>
      <c r="S8" s="10"/>
      <c r="T8" s="10"/>
      <c r="U8" s="10"/>
    </row>
    <row r="9" spans="1:23" ht="15" x14ac:dyDescent="0.15">
      <c r="A9" s="14">
        <v>1</v>
      </c>
      <c r="B9" s="10" t="s">
        <v>26</v>
      </c>
      <c r="C9" s="25" t="s">
        <v>27</v>
      </c>
      <c r="D9" s="10"/>
      <c r="E9" s="10"/>
      <c r="F9" s="10"/>
      <c r="G9" s="10"/>
      <c r="H9" s="10"/>
      <c r="I9" s="10"/>
      <c r="J9" s="10"/>
      <c r="K9" s="10"/>
      <c r="L9" s="10"/>
      <c r="M9" s="10"/>
      <c r="N9" s="10"/>
      <c r="O9" s="10"/>
      <c r="P9" s="10"/>
      <c r="Q9" s="10"/>
      <c r="R9" s="10"/>
      <c r="S9" s="10"/>
      <c r="T9" s="10"/>
      <c r="U9" s="10"/>
    </row>
    <row r="10" spans="1:23" ht="15" x14ac:dyDescent="0.15">
      <c r="A10" s="14">
        <v>1</v>
      </c>
      <c r="B10" s="10" t="s">
        <v>28</v>
      </c>
      <c r="C10" s="13" t="s">
        <v>29</v>
      </c>
      <c r="D10" s="10"/>
      <c r="E10" s="10"/>
      <c r="F10" s="10"/>
      <c r="G10" s="10"/>
      <c r="H10" s="10"/>
      <c r="I10" s="10"/>
      <c r="J10" s="10"/>
      <c r="K10" s="10"/>
      <c r="L10" s="10"/>
      <c r="M10" s="10"/>
      <c r="N10" s="10"/>
      <c r="O10" s="10"/>
      <c r="P10" s="10"/>
      <c r="Q10" s="10"/>
      <c r="R10" s="10"/>
      <c r="S10" s="10"/>
      <c r="T10" s="10"/>
      <c r="U10" s="10"/>
    </row>
    <row r="11" spans="1:23" ht="30" x14ac:dyDescent="0.15">
      <c r="A11" s="14">
        <v>1</v>
      </c>
      <c r="B11" s="10" t="s">
        <v>30</v>
      </c>
      <c r="C11" s="13" t="s">
        <v>31</v>
      </c>
      <c r="D11" s="10"/>
      <c r="E11" s="10"/>
      <c r="F11" s="10"/>
      <c r="G11" s="10"/>
      <c r="H11" s="10"/>
      <c r="I11" s="10"/>
      <c r="J11" s="10"/>
      <c r="K11" s="10"/>
      <c r="L11" s="10"/>
      <c r="M11" s="10"/>
      <c r="N11" s="10"/>
      <c r="O11" s="10"/>
      <c r="P11" s="10"/>
      <c r="Q11" s="10"/>
      <c r="R11" s="10"/>
      <c r="S11" s="10"/>
      <c r="T11" s="10"/>
      <c r="U11" s="10"/>
    </row>
    <row r="12" spans="1:23" ht="15" x14ac:dyDescent="0.15">
      <c r="A12" s="14">
        <v>1</v>
      </c>
      <c r="B12" s="10" t="s">
        <v>32</v>
      </c>
      <c r="C12" s="13" t="s">
        <v>33</v>
      </c>
      <c r="D12" s="10"/>
      <c r="E12" s="10"/>
      <c r="F12" s="10"/>
      <c r="G12" s="10"/>
      <c r="H12" s="10"/>
      <c r="I12" s="10"/>
      <c r="J12" s="10"/>
      <c r="K12" s="10"/>
      <c r="L12" s="10"/>
      <c r="M12" s="10"/>
      <c r="N12" s="10"/>
      <c r="O12" s="10"/>
      <c r="P12" s="10"/>
      <c r="Q12" s="10"/>
      <c r="R12" s="10"/>
      <c r="S12" s="10"/>
      <c r="T12" s="10"/>
      <c r="U12" s="10"/>
    </row>
    <row r="13" spans="1:23" ht="15" x14ac:dyDescent="0.15">
      <c r="A13" s="14">
        <v>1</v>
      </c>
      <c r="B13" s="10" t="s">
        <v>34</v>
      </c>
      <c r="C13" s="13" t="s">
        <v>35</v>
      </c>
      <c r="D13" s="10"/>
      <c r="E13" s="10"/>
      <c r="F13" s="10"/>
      <c r="G13" s="10"/>
      <c r="H13" s="10"/>
      <c r="I13" s="10"/>
      <c r="J13" s="10"/>
      <c r="K13" s="10"/>
      <c r="L13" s="10"/>
      <c r="M13" s="10"/>
      <c r="N13" s="10"/>
      <c r="O13" s="10"/>
      <c r="P13" s="10"/>
      <c r="Q13" s="10"/>
      <c r="R13" s="10"/>
      <c r="S13" s="10"/>
      <c r="T13" s="10"/>
      <c r="U13" s="10"/>
    </row>
    <row r="14" spans="1:23" ht="30" x14ac:dyDescent="0.15">
      <c r="A14" s="26">
        <v>1</v>
      </c>
      <c r="B14" s="27" t="s">
        <v>36</v>
      </c>
      <c r="C14" s="28" t="s">
        <v>37</v>
      </c>
      <c r="D14" s="10"/>
      <c r="E14" s="10"/>
      <c r="F14" s="10"/>
      <c r="G14" s="10"/>
      <c r="H14" s="10"/>
      <c r="I14" s="10"/>
      <c r="J14" s="10"/>
      <c r="K14" s="10"/>
      <c r="L14" s="10"/>
      <c r="M14" s="10"/>
      <c r="N14" s="10"/>
      <c r="O14" s="10"/>
      <c r="P14" s="10"/>
      <c r="Q14" s="10"/>
      <c r="R14" s="10"/>
      <c r="S14" s="10"/>
      <c r="T14" s="10"/>
      <c r="U14" s="10"/>
    </row>
    <row r="15" spans="1:23" ht="15" x14ac:dyDescent="0.15">
      <c r="A15" s="14">
        <v>3</v>
      </c>
      <c r="B15" s="10" t="s">
        <v>38</v>
      </c>
      <c r="C15" s="13" t="s">
        <v>39</v>
      </c>
      <c r="D15" s="10"/>
      <c r="E15" s="10"/>
      <c r="F15" s="10"/>
      <c r="G15" s="10"/>
      <c r="H15" s="10"/>
      <c r="I15" s="10"/>
      <c r="J15" s="10"/>
      <c r="K15" s="10"/>
      <c r="L15" s="10"/>
      <c r="M15" s="10"/>
      <c r="N15" s="10"/>
      <c r="O15" s="10"/>
      <c r="P15" s="10"/>
      <c r="Q15" s="10"/>
      <c r="R15" s="10"/>
      <c r="S15" s="10"/>
      <c r="T15" s="10"/>
      <c r="U15" s="10"/>
    </row>
    <row r="16" spans="1:23" ht="30" x14ac:dyDescent="0.15">
      <c r="A16" s="26">
        <v>1</v>
      </c>
      <c r="B16" s="27" t="s">
        <v>40</v>
      </c>
      <c r="C16" s="28" t="s">
        <v>41</v>
      </c>
      <c r="D16" s="10"/>
      <c r="E16" s="10"/>
      <c r="F16" s="10"/>
      <c r="G16" s="10"/>
      <c r="H16" s="10"/>
      <c r="I16" s="10"/>
      <c r="J16" s="10"/>
      <c r="K16" s="10"/>
      <c r="L16" s="10"/>
      <c r="M16" s="10"/>
      <c r="N16" s="10"/>
      <c r="O16" s="10"/>
      <c r="P16" s="10"/>
      <c r="Q16" s="10"/>
      <c r="R16" s="10"/>
      <c r="S16" s="10"/>
      <c r="T16" s="10"/>
      <c r="U16" s="10"/>
    </row>
    <row r="17" spans="1:21" ht="30" x14ac:dyDescent="0.15">
      <c r="A17" s="14">
        <v>2</v>
      </c>
      <c r="B17" s="10" t="s">
        <v>42</v>
      </c>
      <c r="C17" s="13" t="s">
        <v>43</v>
      </c>
      <c r="D17" s="10"/>
      <c r="E17" s="10"/>
      <c r="F17" s="10"/>
      <c r="G17" s="10"/>
      <c r="H17" s="10"/>
      <c r="I17" s="10"/>
      <c r="J17" s="10"/>
      <c r="K17" s="10"/>
      <c r="L17" s="10"/>
      <c r="M17" s="10"/>
      <c r="N17" s="10"/>
      <c r="O17" s="10"/>
      <c r="P17" s="10"/>
      <c r="Q17" s="10"/>
      <c r="R17" s="10"/>
      <c r="S17" s="10"/>
      <c r="T17" s="10"/>
      <c r="U17" s="10"/>
    </row>
    <row r="18" spans="1:21" ht="15" x14ac:dyDescent="0.15">
      <c r="A18" s="14">
        <v>2</v>
      </c>
      <c r="B18" s="10" t="s">
        <v>44</v>
      </c>
      <c r="C18" s="13" t="s">
        <v>45</v>
      </c>
      <c r="D18" s="10"/>
      <c r="E18" s="10"/>
      <c r="F18" s="10"/>
      <c r="G18" s="10"/>
      <c r="H18" s="10"/>
      <c r="I18" s="10"/>
      <c r="J18" s="10"/>
      <c r="K18" s="10"/>
      <c r="L18" s="10"/>
      <c r="M18" s="10"/>
      <c r="N18" s="10"/>
      <c r="O18" s="10"/>
      <c r="P18" s="10"/>
      <c r="Q18" s="10"/>
      <c r="R18" s="10"/>
      <c r="S18" s="10"/>
      <c r="T18" s="10"/>
      <c r="U18" s="10"/>
    </row>
    <row r="19" spans="1:21" ht="30" x14ac:dyDescent="0.15">
      <c r="A19" s="14">
        <v>2</v>
      </c>
      <c r="B19" s="10" t="s">
        <v>46</v>
      </c>
      <c r="C19" s="13" t="s">
        <v>47</v>
      </c>
      <c r="D19" s="10"/>
      <c r="E19" s="10"/>
      <c r="F19" s="10"/>
      <c r="G19" s="10"/>
      <c r="H19" s="10"/>
      <c r="I19" s="10"/>
      <c r="J19" s="10"/>
      <c r="K19" s="10"/>
      <c r="L19" s="10"/>
      <c r="M19" s="10"/>
      <c r="N19" s="10"/>
      <c r="O19" s="10"/>
      <c r="P19" s="10"/>
      <c r="Q19" s="10"/>
      <c r="R19" s="10"/>
      <c r="S19" s="10"/>
      <c r="T19" s="10"/>
      <c r="U19" s="10"/>
    </row>
    <row r="20" spans="1:21" ht="45" x14ac:dyDescent="0.15">
      <c r="A20" s="14">
        <v>2</v>
      </c>
      <c r="B20" s="10" t="s">
        <v>48</v>
      </c>
      <c r="C20" s="13" t="s">
        <v>49</v>
      </c>
      <c r="D20" s="10"/>
      <c r="E20" s="10"/>
      <c r="F20" s="10"/>
      <c r="G20" s="10"/>
      <c r="H20" s="10"/>
      <c r="I20" s="10"/>
      <c r="J20" s="10"/>
      <c r="K20" s="10"/>
      <c r="L20" s="10"/>
      <c r="M20" s="10"/>
      <c r="N20" s="10"/>
      <c r="O20" s="10"/>
      <c r="P20" s="10"/>
      <c r="Q20" s="10"/>
      <c r="R20" s="10"/>
      <c r="S20" s="10"/>
      <c r="T20" s="10"/>
      <c r="U20" s="10"/>
    </row>
    <row r="21" spans="1:21" ht="15" x14ac:dyDescent="0.15">
      <c r="A21" s="14">
        <v>6</v>
      </c>
      <c r="B21" s="10" t="s">
        <v>50</v>
      </c>
      <c r="C21" s="13" t="s">
        <v>51</v>
      </c>
      <c r="D21" s="10"/>
      <c r="E21" s="10"/>
      <c r="F21" s="10"/>
      <c r="G21" s="10"/>
      <c r="H21" s="10"/>
      <c r="I21" s="10"/>
      <c r="J21" s="10"/>
      <c r="K21" s="10"/>
      <c r="L21" s="10"/>
      <c r="M21" s="10"/>
      <c r="N21" s="10"/>
      <c r="O21" s="10"/>
      <c r="P21" s="10"/>
      <c r="Q21" s="10"/>
      <c r="R21" s="10"/>
      <c r="S21" s="10"/>
      <c r="T21" s="10"/>
      <c r="U21" s="10"/>
    </row>
    <row r="22" spans="1:21" ht="15" x14ac:dyDescent="0.15">
      <c r="A22" s="14">
        <v>6</v>
      </c>
      <c r="B22" s="10" t="s">
        <v>52</v>
      </c>
      <c r="C22" s="13" t="s">
        <v>53</v>
      </c>
      <c r="D22" s="10"/>
      <c r="E22" s="10"/>
      <c r="F22" s="10"/>
      <c r="G22" s="10"/>
      <c r="H22" s="10"/>
      <c r="I22" s="10"/>
      <c r="J22" s="10"/>
      <c r="K22" s="10"/>
      <c r="L22" s="10"/>
      <c r="M22" s="10"/>
      <c r="N22" s="10"/>
      <c r="O22" s="10"/>
      <c r="P22" s="10"/>
      <c r="Q22" s="10"/>
      <c r="R22" s="10"/>
      <c r="S22" s="10"/>
      <c r="T22" s="10"/>
      <c r="U22" s="10"/>
    </row>
    <row r="23" spans="1:21" x14ac:dyDescent="0.15">
      <c r="A23" s="16"/>
    </row>
    <row r="24" spans="1:21" x14ac:dyDescent="0.15">
      <c r="A24" s="30" t="s">
        <v>54</v>
      </c>
      <c r="B24" s="30"/>
      <c r="C24" s="28"/>
    </row>
    <row r="25" spans="1:21" x14ac:dyDescent="0.15">
      <c r="A25" s="16"/>
    </row>
    <row r="26" spans="1:21" x14ac:dyDescent="0.15">
      <c r="A26" s="16"/>
    </row>
    <row r="27" spans="1:21" x14ac:dyDescent="0.15">
      <c r="A27" s="16"/>
    </row>
    <row r="28" spans="1:21" x14ac:dyDescent="0.15">
      <c r="A28" s="16"/>
    </row>
    <row r="29" spans="1:21" x14ac:dyDescent="0.15">
      <c r="A29" s="16"/>
    </row>
    <row r="30" spans="1:21" x14ac:dyDescent="0.15">
      <c r="A30" s="16"/>
    </row>
    <row r="31" spans="1:21" x14ac:dyDescent="0.15">
      <c r="A31" s="16"/>
    </row>
    <row r="32" spans="1:21" x14ac:dyDescent="0.15">
      <c r="A32" s="16"/>
    </row>
    <row r="33" spans="1:1" x14ac:dyDescent="0.15">
      <c r="A33" s="16"/>
    </row>
    <row r="34" spans="1:1" x14ac:dyDescent="0.15">
      <c r="A34" s="16"/>
    </row>
    <row r="35" spans="1:1" x14ac:dyDescent="0.15">
      <c r="A35" s="16"/>
    </row>
    <row r="36" spans="1:1" x14ac:dyDescent="0.15">
      <c r="A36" s="16"/>
    </row>
    <row r="37" spans="1:1" x14ac:dyDescent="0.15">
      <c r="A37" s="16"/>
    </row>
    <row r="38" spans="1:1" x14ac:dyDescent="0.15">
      <c r="A38" s="16"/>
    </row>
    <row r="39" spans="1:1" x14ac:dyDescent="0.15">
      <c r="A39" s="16"/>
    </row>
    <row r="40" spans="1:1" x14ac:dyDescent="0.15">
      <c r="A40" s="16"/>
    </row>
    <row r="41" spans="1:1" x14ac:dyDescent="0.15">
      <c r="A41" s="16"/>
    </row>
    <row r="42" spans="1:1" x14ac:dyDescent="0.15">
      <c r="A42" s="16"/>
    </row>
    <row r="43" spans="1:1" x14ac:dyDescent="0.15">
      <c r="A43" s="16"/>
    </row>
    <row r="44" spans="1:1" x14ac:dyDescent="0.15">
      <c r="A44" s="16"/>
    </row>
    <row r="45" spans="1:1" x14ac:dyDescent="0.15">
      <c r="A45" s="16"/>
    </row>
    <row r="46" spans="1:1" x14ac:dyDescent="0.15">
      <c r="A46" s="16"/>
    </row>
    <row r="47" spans="1:1" x14ac:dyDescent="0.15">
      <c r="A47" s="16"/>
    </row>
    <row r="48" spans="1:1" x14ac:dyDescent="0.15">
      <c r="A48" s="16"/>
    </row>
    <row r="49" spans="1:1" x14ac:dyDescent="0.15">
      <c r="A49" s="16"/>
    </row>
    <row r="50" spans="1:1" x14ac:dyDescent="0.15">
      <c r="A50" s="16"/>
    </row>
    <row r="51" spans="1:1" x14ac:dyDescent="0.15">
      <c r="A51" s="16"/>
    </row>
    <row r="52" spans="1:1" x14ac:dyDescent="0.15">
      <c r="A52" s="16"/>
    </row>
    <row r="53" spans="1:1" x14ac:dyDescent="0.15">
      <c r="A53" s="16"/>
    </row>
    <row r="54" spans="1:1" x14ac:dyDescent="0.15">
      <c r="A54" s="16"/>
    </row>
    <row r="55" spans="1:1" x14ac:dyDescent="0.15">
      <c r="A55" s="16"/>
    </row>
    <row r="56" spans="1:1" x14ac:dyDescent="0.15">
      <c r="A56" s="16"/>
    </row>
    <row r="57" spans="1:1" x14ac:dyDescent="0.15">
      <c r="A57" s="16"/>
    </row>
    <row r="58" spans="1:1" x14ac:dyDescent="0.15">
      <c r="A58" s="16"/>
    </row>
    <row r="59" spans="1:1" x14ac:dyDescent="0.15">
      <c r="A59" s="16"/>
    </row>
    <row r="60" spans="1:1" x14ac:dyDescent="0.15">
      <c r="A60" s="16"/>
    </row>
    <row r="61" spans="1:1" x14ac:dyDescent="0.15">
      <c r="A61" s="16"/>
    </row>
    <row r="62" spans="1:1" x14ac:dyDescent="0.15">
      <c r="A62" s="16"/>
    </row>
    <row r="63" spans="1:1" x14ac:dyDescent="0.15">
      <c r="A63" s="16"/>
    </row>
    <row r="64" spans="1:1" x14ac:dyDescent="0.15">
      <c r="A64" s="16"/>
    </row>
    <row r="65" spans="1:1" x14ac:dyDescent="0.15">
      <c r="A65" s="16"/>
    </row>
    <row r="66" spans="1:1" x14ac:dyDescent="0.15">
      <c r="A66" s="16"/>
    </row>
    <row r="67" spans="1:1" x14ac:dyDescent="0.15">
      <c r="A67" s="16"/>
    </row>
    <row r="68" spans="1:1" x14ac:dyDescent="0.15">
      <c r="A68" s="16"/>
    </row>
    <row r="69" spans="1:1" x14ac:dyDescent="0.15">
      <c r="A69" s="16"/>
    </row>
    <row r="70" spans="1:1" x14ac:dyDescent="0.15">
      <c r="A70" s="16"/>
    </row>
    <row r="71" spans="1:1" x14ac:dyDescent="0.15">
      <c r="A71" s="16"/>
    </row>
    <row r="72" spans="1:1" x14ac:dyDescent="0.15">
      <c r="A72" s="16"/>
    </row>
    <row r="73" spans="1:1" x14ac:dyDescent="0.15">
      <c r="A73" s="16"/>
    </row>
    <row r="74" spans="1:1" x14ac:dyDescent="0.15">
      <c r="A74" s="16"/>
    </row>
    <row r="75" spans="1:1" x14ac:dyDescent="0.15">
      <c r="A75" s="16"/>
    </row>
    <row r="76" spans="1:1" x14ac:dyDescent="0.15">
      <c r="A76" s="16"/>
    </row>
    <row r="77" spans="1:1" x14ac:dyDescent="0.15">
      <c r="A77" s="16"/>
    </row>
    <row r="78" spans="1:1" x14ac:dyDescent="0.15">
      <c r="A78" s="16"/>
    </row>
    <row r="79" spans="1:1" x14ac:dyDescent="0.15">
      <c r="A79" s="16"/>
    </row>
    <row r="80" spans="1:1" x14ac:dyDescent="0.15">
      <c r="A80" s="16"/>
    </row>
    <row r="81" spans="1:1" x14ac:dyDescent="0.15">
      <c r="A81" s="16"/>
    </row>
    <row r="82" spans="1:1" x14ac:dyDescent="0.15">
      <c r="A82" s="16"/>
    </row>
    <row r="83" spans="1:1" x14ac:dyDescent="0.15">
      <c r="A83" s="16"/>
    </row>
    <row r="84" spans="1:1" x14ac:dyDescent="0.15">
      <c r="A84" s="16"/>
    </row>
    <row r="85" spans="1:1" x14ac:dyDescent="0.15">
      <c r="A85" s="16"/>
    </row>
    <row r="86" spans="1:1" x14ac:dyDescent="0.15">
      <c r="A86" s="16"/>
    </row>
    <row r="87" spans="1:1" x14ac:dyDescent="0.15">
      <c r="A87" s="16"/>
    </row>
    <row r="88" spans="1:1" x14ac:dyDescent="0.15">
      <c r="A88" s="16"/>
    </row>
    <row r="89" spans="1:1" x14ac:dyDescent="0.15">
      <c r="A89" s="16"/>
    </row>
    <row r="90" spans="1:1" x14ac:dyDescent="0.15">
      <c r="A90" s="16"/>
    </row>
    <row r="91" spans="1:1" x14ac:dyDescent="0.15">
      <c r="A91" s="16"/>
    </row>
    <row r="92" spans="1:1" x14ac:dyDescent="0.15">
      <c r="A92" s="16"/>
    </row>
    <row r="93" spans="1:1" x14ac:dyDescent="0.15">
      <c r="A93" s="16"/>
    </row>
    <row r="94" spans="1:1" x14ac:dyDescent="0.15">
      <c r="A94" s="16"/>
    </row>
    <row r="95" spans="1:1" x14ac:dyDescent="0.15">
      <c r="A95" s="16"/>
    </row>
    <row r="96" spans="1:1" x14ac:dyDescent="0.15">
      <c r="A96" s="16"/>
    </row>
    <row r="97" spans="1:1" x14ac:dyDescent="0.15">
      <c r="A97" s="16"/>
    </row>
    <row r="98" spans="1:1" x14ac:dyDescent="0.15">
      <c r="A98" s="16"/>
    </row>
    <row r="99" spans="1:1" x14ac:dyDescent="0.15">
      <c r="A99" s="16"/>
    </row>
    <row r="100" spans="1:1" x14ac:dyDescent="0.15">
      <c r="A100" s="16"/>
    </row>
    <row r="101" spans="1:1" x14ac:dyDescent="0.15">
      <c r="A101" s="16"/>
    </row>
    <row r="102" spans="1:1" x14ac:dyDescent="0.15">
      <c r="A102" s="16"/>
    </row>
    <row r="103" spans="1:1" x14ac:dyDescent="0.15">
      <c r="A103" s="16"/>
    </row>
    <row r="104" spans="1:1" x14ac:dyDescent="0.15">
      <c r="A104" s="16"/>
    </row>
    <row r="105" spans="1:1" x14ac:dyDescent="0.15">
      <c r="A105" s="16"/>
    </row>
    <row r="106" spans="1:1" x14ac:dyDescent="0.15">
      <c r="A106" s="16"/>
    </row>
    <row r="107" spans="1:1" x14ac:dyDescent="0.15">
      <c r="A107" s="16"/>
    </row>
    <row r="108" spans="1:1" x14ac:dyDescent="0.15">
      <c r="A108" s="16"/>
    </row>
    <row r="109" spans="1:1" x14ac:dyDescent="0.15">
      <c r="A109" s="16"/>
    </row>
    <row r="110" spans="1:1" x14ac:dyDescent="0.15">
      <c r="A110" s="16"/>
    </row>
    <row r="111" spans="1:1" x14ac:dyDescent="0.15">
      <c r="A111" s="16"/>
    </row>
    <row r="112" spans="1:1" x14ac:dyDescent="0.15">
      <c r="A112" s="16"/>
    </row>
    <row r="113" spans="1:1" x14ac:dyDescent="0.15">
      <c r="A113" s="16"/>
    </row>
    <row r="114" spans="1:1" x14ac:dyDescent="0.15">
      <c r="A114" s="16"/>
    </row>
    <row r="115" spans="1:1" x14ac:dyDescent="0.15">
      <c r="A115" s="16"/>
    </row>
    <row r="116" spans="1:1" x14ac:dyDescent="0.15">
      <c r="A116" s="16"/>
    </row>
    <row r="117" spans="1:1" x14ac:dyDescent="0.15">
      <c r="A117" s="16"/>
    </row>
    <row r="118" spans="1:1" x14ac:dyDescent="0.15">
      <c r="A118" s="16"/>
    </row>
    <row r="119" spans="1:1" x14ac:dyDescent="0.15">
      <c r="A119" s="16"/>
    </row>
    <row r="120" spans="1:1" x14ac:dyDescent="0.15">
      <c r="A120" s="16"/>
    </row>
    <row r="121" spans="1:1" x14ac:dyDescent="0.15">
      <c r="A121" s="16"/>
    </row>
    <row r="122" spans="1:1" x14ac:dyDescent="0.15">
      <c r="A122" s="16"/>
    </row>
    <row r="123" spans="1:1" x14ac:dyDescent="0.15">
      <c r="A123" s="16"/>
    </row>
    <row r="124" spans="1:1" x14ac:dyDescent="0.15">
      <c r="A124" s="16"/>
    </row>
    <row r="125" spans="1:1" x14ac:dyDescent="0.15">
      <c r="A125" s="16"/>
    </row>
    <row r="126" spans="1:1" x14ac:dyDescent="0.15">
      <c r="A126" s="16"/>
    </row>
    <row r="127" spans="1:1" x14ac:dyDescent="0.15">
      <c r="A127" s="16"/>
    </row>
    <row r="128" spans="1:1" x14ac:dyDescent="0.15">
      <c r="A128" s="16"/>
    </row>
    <row r="129" spans="1:1" x14ac:dyDescent="0.15">
      <c r="A129" s="16"/>
    </row>
    <row r="130" spans="1:1" x14ac:dyDescent="0.15">
      <c r="A130" s="16"/>
    </row>
    <row r="131" spans="1:1" x14ac:dyDescent="0.15">
      <c r="A131" s="16"/>
    </row>
    <row r="132" spans="1:1" x14ac:dyDescent="0.15">
      <c r="A132" s="16"/>
    </row>
    <row r="133" spans="1:1" x14ac:dyDescent="0.15">
      <c r="A133" s="16"/>
    </row>
    <row r="134" spans="1:1" x14ac:dyDescent="0.15">
      <c r="A134" s="16"/>
    </row>
    <row r="135" spans="1:1" x14ac:dyDescent="0.15">
      <c r="A135" s="16"/>
    </row>
    <row r="136" spans="1:1" x14ac:dyDescent="0.15">
      <c r="A136" s="16"/>
    </row>
    <row r="137" spans="1:1" x14ac:dyDescent="0.15">
      <c r="A137" s="16"/>
    </row>
    <row r="138" spans="1:1" x14ac:dyDescent="0.15">
      <c r="A138" s="16"/>
    </row>
    <row r="139" spans="1:1" x14ac:dyDescent="0.15">
      <c r="A139" s="16"/>
    </row>
    <row r="140" spans="1:1" x14ac:dyDescent="0.15">
      <c r="A140" s="16"/>
    </row>
    <row r="141" spans="1:1" x14ac:dyDescent="0.15">
      <c r="A141" s="16"/>
    </row>
    <row r="142" spans="1:1" x14ac:dyDescent="0.15">
      <c r="A142" s="16"/>
    </row>
    <row r="143" spans="1:1" x14ac:dyDescent="0.15">
      <c r="A143" s="16"/>
    </row>
    <row r="144" spans="1:1" x14ac:dyDescent="0.15">
      <c r="A144" s="16"/>
    </row>
    <row r="145" spans="1:1" x14ac:dyDescent="0.15">
      <c r="A145" s="16"/>
    </row>
    <row r="146" spans="1:1" x14ac:dyDescent="0.15">
      <c r="A146" s="16"/>
    </row>
    <row r="147" spans="1:1" x14ac:dyDescent="0.15">
      <c r="A147" s="16"/>
    </row>
    <row r="148" spans="1:1" x14ac:dyDescent="0.15">
      <c r="A148" s="16"/>
    </row>
    <row r="149" spans="1:1" x14ac:dyDescent="0.15">
      <c r="A149" s="16"/>
    </row>
    <row r="150" spans="1:1" x14ac:dyDescent="0.15">
      <c r="A150" s="16"/>
    </row>
    <row r="151" spans="1:1" x14ac:dyDescent="0.15">
      <c r="A151" s="16"/>
    </row>
    <row r="152" spans="1:1" x14ac:dyDescent="0.15">
      <c r="A152" s="16"/>
    </row>
    <row r="153" spans="1:1" x14ac:dyDescent="0.15">
      <c r="A153" s="16"/>
    </row>
    <row r="154" spans="1:1" x14ac:dyDescent="0.15">
      <c r="A154" s="16"/>
    </row>
    <row r="155" spans="1:1" x14ac:dyDescent="0.15">
      <c r="A155" s="16"/>
    </row>
    <row r="156" spans="1:1" x14ac:dyDescent="0.15">
      <c r="A156" s="16"/>
    </row>
    <row r="157" spans="1:1" x14ac:dyDescent="0.15">
      <c r="A157" s="16"/>
    </row>
    <row r="158" spans="1:1" x14ac:dyDescent="0.15">
      <c r="A158" s="16"/>
    </row>
    <row r="159" spans="1:1" x14ac:dyDescent="0.15">
      <c r="A159" s="16"/>
    </row>
    <row r="160" spans="1:1" x14ac:dyDescent="0.15">
      <c r="A160" s="16"/>
    </row>
    <row r="161" spans="1:1" x14ac:dyDescent="0.15">
      <c r="A161" s="16"/>
    </row>
    <row r="162" spans="1:1" x14ac:dyDescent="0.15">
      <c r="A162" s="16"/>
    </row>
    <row r="163" spans="1:1" x14ac:dyDescent="0.15">
      <c r="A163" s="16"/>
    </row>
    <row r="164" spans="1:1" x14ac:dyDescent="0.15">
      <c r="A164" s="16"/>
    </row>
    <row r="165" spans="1:1" x14ac:dyDescent="0.15">
      <c r="A165" s="16"/>
    </row>
    <row r="166" spans="1:1" x14ac:dyDescent="0.15">
      <c r="A166" s="16"/>
    </row>
    <row r="167" spans="1:1" x14ac:dyDescent="0.15">
      <c r="A167" s="16"/>
    </row>
    <row r="168" spans="1:1" x14ac:dyDescent="0.15">
      <c r="A168" s="16"/>
    </row>
    <row r="169" spans="1:1" x14ac:dyDescent="0.15">
      <c r="A169" s="16"/>
    </row>
    <row r="170" spans="1:1" x14ac:dyDescent="0.15">
      <c r="A170" s="16"/>
    </row>
    <row r="171" spans="1:1" x14ac:dyDescent="0.15">
      <c r="A171" s="16"/>
    </row>
    <row r="172" spans="1:1" x14ac:dyDescent="0.15">
      <c r="A172" s="16"/>
    </row>
    <row r="173" spans="1:1" x14ac:dyDescent="0.15">
      <c r="A173" s="16"/>
    </row>
    <row r="174" spans="1:1" x14ac:dyDescent="0.15">
      <c r="A174" s="16"/>
    </row>
    <row r="175" spans="1:1" x14ac:dyDescent="0.15">
      <c r="A175" s="16"/>
    </row>
    <row r="176" spans="1:1" x14ac:dyDescent="0.15">
      <c r="A176" s="16"/>
    </row>
    <row r="177" spans="1:1" x14ac:dyDescent="0.15">
      <c r="A177" s="16"/>
    </row>
    <row r="178" spans="1:1" x14ac:dyDescent="0.15">
      <c r="A178" s="16"/>
    </row>
    <row r="179" spans="1:1" x14ac:dyDescent="0.15">
      <c r="A179" s="16"/>
    </row>
    <row r="180" spans="1:1" x14ac:dyDescent="0.15">
      <c r="A180" s="16"/>
    </row>
    <row r="181" spans="1:1" x14ac:dyDescent="0.15">
      <c r="A181" s="16"/>
    </row>
    <row r="182" spans="1:1" x14ac:dyDescent="0.15">
      <c r="A182" s="16"/>
    </row>
    <row r="183" spans="1:1" x14ac:dyDescent="0.15">
      <c r="A183" s="16"/>
    </row>
    <row r="184" spans="1:1" x14ac:dyDescent="0.15">
      <c r="A184" s="16"/>
    </row>
    <row r="185" spans="1:1" x14ac:dyDescent="0.15">
      <c r="A185" s="16"/>
    </row>
    <row r="186" spans="1:1" x14ac:dyDescent="0.15">
      <c r="A186" s="16"/>
    </row>
    <row r="187" spans="1:1" x14ac:dyDescent="0.15">
      <c r="A187" s="16"/>
    </row>
    <row r="188" spans="1:1" x14ac:dyDescent="0.15">
      <c r="A188" s="16"/>
    </row>
    <row r="189" spans="1:1" x14ac:dyDescent="0.15">
      <c r="A189" s="16"/>
    </row>
    <row r="190" spans="1:1" x14ac:dyDescent="0.15">
      <c r="A190" s="16"/>
    </row>
    <row r="191" spans="1:1" x14ac:dyDescent="0.15">
      <c r="A191" s="16"/>
    </row>
    <row r="192" spans="1:1" x14ac:dyDescent="0.15">
      <c r="A192" s="16"/>
    </row>
    <row r="193" spans="1:1" x14ac:dyDescent="0.15">
      <c r="A193" s="16"/>
    </row>
    <row r="194" spans="1:1" x14ac:dyDescent="0.15">
      <c r="A194" s="16"/>
    </row>
    <row r="195" spans="1:1" x14ac:dyDescent="0.15">
      <c r="A195" s="16"/>
    </row>
    <row r="196" spans="1:1" x14ac:dyDescent="0.15">
      <c r="A196" s="16"/>
    </row>
    <row r="197" spans="1:1" x14ac:dyDescent="0.15">
      <c r="A197" s="16"/>
    </row>
    <row r="198" spans="1:1" x14ac:dyDescent="0.15">
      <c r="A198" s="16"/>
    </row>
    <row r="199" spans="1:1" x14ac:dyDescent="0.15">
      <c r="A199" s="16"/>
    </row>
    <row r="200" spans="1:1" x14ac:dyDescent="0.15">
      <c r="A200" s="16"/>
    </row>
    <row r="201" spans="1:1" x14ac:dyDescent="0.15">
      <c r="A201" s="16"/>
    </row>
    <row r="202" spans="1:1" x14ac:dyDescent="0.15">
      <c r="A202" s="16"/>
    </row>
    <row r="203" spans="1:1" x14ac:dyDescent="0.15">
      <c r="A203" s="16"/>
    </row>
    <row r="204" spans="1:1" x14ac:dyDescent="0.15">
      <c r="A204" s="16"/>
    </row>
    <row r="205" spans="1:1" x14ac:dyDescent="0.15">
      <c r="A205" s="16"/>
    </row>
    <row r="206" spans="1:1" x14ac:dyDescent="0.15">
      <c r="A206" s="16"/>
    </row>
    <row r="207" spans="1:1" x14ac:dyDescent="0.15">
      <c r="A207" s="16"/>
    </row>
    <row r="208" spans="1:1" x14ac:dyDescent="0.15">
      <c r="A208" s="16"/>
    </row>
    <row r="209" spans="1:1" x14ac:dyDescent="0.15">
      <c r="A209" s="16"/>
    </row>
    <row r="210" spans="1:1" x14ac:dyDescent="0.15">
      <c r="A210" s="16"/>
    </row>
    <row r="211" spans="1:1" x14ac:dyDescent="0.15">
      <c r="A211" s="16"/>
    </row>
    <row r="212" spans="1:1" x14ac:dyDescent="0.15">
      <c r="A212" s="16"/>
    </row>
    <row r="213" spans="1:1" x14ac:dyDescent="0.15">
      <c r="A213" s="16"/>
    </row>
    <row r="214" spans="1:1" x14ac:dyDescent="0.15">
      <c r="A214" s="16"/>
    </row>
    <row r="215" spans="1:1" x14ac:dyDescent="0.15">
      <c r="A215" s="16"/>
    </row>
    <row r="216" spans="1:1" x14ac:dyDescent="0.15">
      <c r="A216" s="16"/>
    </row>
    <row r="217" spans="1:1" x14ac:dyDescent="0.15">
      <c r="A217" s="16"/>
    </row>
    <row r="218" spans="1:1" x14ac:dyDescent="0.15">
      <c r="A218" s="16"/>
    </row>
    <row r="219" spans="1:1" x14ac:dyDescent="0.15">
      <c r="A219" s="16"/>
    </row>
    <row r="220" spans="1:1" x14ac:dyDescent="0.15">
      <c r="A220" s="16"/>
    </row>
    <row r="221" spans="1:1" x14ac:dyDescent="0.15">
      <c r="A221" s="16"/>
    </row>
    <row r="222" spans="1:1" x14ac:dyDescent="0.15">
      <c r="A222" s="16"/>
    </row>
    <row r="223" spans="1:1" x14ac:dyDescent="0.15">
      <c r="A223" s="16"/>
    </row>
    <row r="224" spans="1:1" x14ac:dyDescent="0.15">
      <c r="A224" s="16"/>
    </row>
    <row r="225" spans="1:1" x14ac:dyDescent="0.15">
      <c r="A225" s="16"/>
    </row>
    <row r="226" spans="1:1" x14ac:dyDescent="0.15">
      <c r="A226" s="16"/>
    </row>
    <row r="227" spans="1:1" x14ac:dyDescent="0.15">
      <c r="A227" s="16"/>
    </row>
    <row r="228" spans="1:1" x14ac:dyDescent="0.15">
      <c r="A228" s="16"/>
    </row>
    <row r="229" spans="1:1" x14ac:dyDescent="0.15">
      <c r="A229" s="16"/>
    </row>
    <row r="230" spans="1:1" x14ac:dyDescent="0.15">
      <c r="A230" s="16"/>
    </row>
    <row r="231" spans="1:1" x14ac:dyDescent="0.15">
      <c r="A231" s="16"/>
    </row>
    <row r="232" spans="1:1" x14ac:dyDescent="0.15">
      <c r="A232" s="16"/>
    </row>
    <row r="233" spans="1:1" x14ac:dyDescent="0.15">
      <c r="A233" s="16"/>
    </row>
    <row r="234" spans="1:1" x14ac:dyDescent="0.15">
      <c r="A234" s="16"/>
    </row>
    <row r="235" spans="1:1" x14ac:dyDescent="0.15">
      <c r="A235" s="16"/>
    </row>
    <row r="236" spans="1:1" x14ac:dyDescent="0.15">
      <c r="A236" s="16"/>
    </row>
    <row r="237" spans="1:1" x14ac:dyDescent="0.15">
      <c r="A237" s="16"/>
    </row>
    <row r="238" spans="1:1" x14ac:dyDescent="0.15">
      <c r="A238" s="16"/>
    </row>
    <row r="239" spans="1:1" x14ac:dyDescent="0.15">
      <c r="A239" s="16"/>
    </row>
    <row r="240" spans="1:1" x14ac:dyDescent="0.15">
      <c r="A240" s="16"/>
    </row>
    <row r="241" spans="1:1" x14ac:dyDescent="0.15">
      <c r="A241" s="16"/>
    </row>
    <row r="242" spans="1:1" x14ac:dyDescent="0.15">
      <c r="A242" s="16"/>
    </row>
    <row r="243" spans="1:1" x14ac:dyDescent="0.15">
      <c r="A243" s="16"/>
    </row>
    <row r="244" spans="1:1" x14ac:dyDescent="0.15">
      <c r="A244" s="16"/>
    </row>
    <row r="245" spans="1:1" x14ac:dyDescent="0.15">
      <c r="A245" s="16"/>
    </row>
    <row r="246" spans="1:1" x14ac:dyDescent="0.15">
      <c r="A246" s="16"/>
    </row>
    <row r="247" spans="1:1" x14ac:dyDescent="0.15">
      <c r="A247" s="16"/>
    </row>
    <row r="248" spans="1:1" x14ac:dyDescent="0.15">
      <c r="A248" s="16"/>
    </row>
    <row r="249" spans="1:1" x14ac:dyDescent="0.15">
      <c r="A249" s="16"/>
    </row>
    <row r="250" spans="1:1" x14ac:dyDescent="0.15">
      <c r="A250" s="16"/>
    </row>
    <row r="251" spans="1:1" x14ac:dyDescent="0.15">
      <c r="A251" s="16"/>
    </row>
    <row r="252" spans="1:1" x14ac:dyDescent="0.15">
      <c r="A252" s="16"/>
    </row>
    <row r="253" spans="1:1" x14ac:dyDescent="0.15">
      <c r="A253" s="16"/>
    </row>
    <row r="254" spans="1:1" x14ac:dyDescent="0.15">
      <c r="A254" s="16"/>
    </row>
    <row r="255" spans="1:1" x14ac:dyDescent="0.15">
      <c r="A255" s="16"/>
    </row>
    <row r="256" spans="1:1" x14ac:dyDescent="0.15">
      <c r="A256" s="16"/>
    </row>
    <row r="257" spans="1:1" x14ac:dyDescent="0.15">
      <c r="A257" s="16"/>
    </row>
    <row r="258" spans="1:1" x14ac:dyDescent="0.15">
      <c r="A258" s="16"/>
    </row>
    <row r="259" spans="1:1" x14ac:dyDescent="0.15">
      <c r="A259" s="16"/>
    </row>
    <row r="260" spans="1:1" x14ac:dyDescent="0.15">
      <c r="A260" s="16"/>
    </row>
    <row r="261" spans="1:1" x14ac:dyDescent="0.15">
      <c r="A261" s="16"/>
    </row>
    <row r="262" spans="1:1" x14ac:dyDescent="0.15">
      <c r="A262" s="16"/>
    </row>
    <row r="263" spans="1:1" x14ac:dyDescent="0.15">
      <c r="A263" s="16"/>
    </row>
    <row r="264" spans="1:1" x14ac:dyDescent="0.15">
      <c r="A264" s="16"/>
    </row>
    <row r="265" spans="1:1" x14ac:dyDescent="0.15">
      <c r="A265" s="16"/>
    </row>
    <row r="266" spans="1:1" x14ac:dyDescent="0.15">
      <c r="A266" s="16"/>
    </row>
    <row r="267" spans="1:1" x14ac:dyDescent="0.15">
      <c r="A267" s="16"/>
    </row>
    <row r="268" spans="1:1" x14ac:dyDescent="0.15">
      <c r="A268" s="16"/>
    </row>
    <row r="269" spans="1:1" x14ac:dyDescent="0.15">
      <c r="A269" s="16"/>
    </row>
    <row r="270" spans="1:1" x14ac:dyDescent="0.15">
      <c r="A270" s="16"/>
    </row>
    <row r="271" spans="1:1" x14ac:dyDescent="0.15">
      <c r="A271" s="16"/>
    </row>
    <row r="272" spans="1:1" x14ac:dyDescent="0.15">
      <c r="A272" s="16"/>
    </row>
    <row r="273" spans="1:1" x14ac:dyDescent="0.15">
      <c r="A273" s="16"/>
    </row>
    <row r="274" spans="1:1" x14ac:dyDescent="0.15">
      <c r="A274" s="16"/>
    </row>
    <row r="275" spans="1:1" x14ac:dyDescent="0.15">
      <c r="A275" s="16"/>
    </row>
    <row r="276" spans="1:1" x14ac:dyDescent="0.15">
      <c r="A276" s="16"/>
    </row>
    <row r="277" spans="1:1" x14ac:dyDescent="0.15">
      <c r="A277" s="16"/>
    </row>
    <row r="278" spans="1:1" x14ac:dyDescent="0.15">
      <c r="A278" s="16"/>
    </row>
    <row r="279" spans="1:1" x14ac:dyDescent="0.15">
      <c r="A279" s="16"/>
    </row>
    <row r="280" spans="1:1" x14ac:dyDescent="0.15">
      <c r="A280" s="16"/>
    </row>
    <row r="281" spans="1:1" x14ac:dyDescent="0.15">
      <c r="A281" s="16"/>
    </row>
    <row r="282" spans="1:1" x14ac:dyDescent="0.15">
      <c r="A282" s="16"/>
    </row>
    <row r="283" spans="1:1" x14ac:dyDescent="0.15">
      <c r="A283" s="16"/>
    </row>
    <row r="284" spans="1:1" x14ac:dyDescent="0.15">
      <c r="A284" s="16"/>
    </row>
    <row r="285" spans="1:1" x14ac:dyDescent="0.15">
      <c r="A285" s="16"/>
    </row>
    <row r="286" spans="1:1" x14ac:dyDescent="0.15">
      <c r="A286" s="16"/>
    </row>
    <row r="287" spans="1:1" x14ac:dyDescent="0.15">
      <c r="A287" s="16"/>
    </row>
    <row r="288" spans="1:1" x14ac:dyDescent="0.15">
      <c r="A288" s="16"/>
    </row>
    <row r="289" spans="1:1" x14ac:dyDescent="0.15">
      <c r="A289" s="16"/>
    </row>
    <row r="290" spans="1:1" x14ac:dyDescent="0.15">
      <c r="A290" s="16"/>
    </row>
    <row r="291" spans="1:1" x14ac:dyDescent="0.15">
      <c r="A291" s="16"/>
    </row>
    <row r="292" spans="1:1" x14ac:dyDescent="0.15">
      <c r="A292" s="16"/>
    </row>
    <row r="293" spans="1:1" x14ac:dyDescent="0.15">
      <c r="A293" s="16"/>
    </row>
    <row r="294" spans="1:1" x14ac:dyDescent="0.15">
      <c r="A294" s="16"/>
    </row>
    <row r="295" spans="1:1" x14ac:dyDescent="0.15">
      <c r="A295" s="16"/>
    </row>
    <row r="296" spans="1:1" x14ac:dyDescent="0.15">
      <c r="A296" s="16"/>
    </row>
    <row r="297" spans="1:1" x14ac:dyDescent="0.15">
      <c r="A297" s="16"/>
    </row>
    <row r="298" spans="1:1" x14ac:dyDescent="0.15">
      <c r="A298" s="16"/>
    </row>
    <row r="299" spans="1:1" x14ac:dyDescent="0.15">
      <c r="A299" s="16"/>
    </row>
    <row r="300" spans="1:1" x14ac:dyDescent="0.15">
      <c r="A300" s="16"/>
    </row>
    <row r="301" spans="1:1" x14ac:dyDescent="0.15">
      <c r="A301" s="16"/>
    </row>
    <row r="302" spans="1:1" x14ac:dyDescent="0.15">
      <c r="A302" s="16"/>
    </row>
    <row r="303" spans="1:1" x14ac:dyDescent="0.15">
      <c r="A303" s="16"/>
    </row>
    <row r="304" spans="1:1" x14ac:dyDescent="0.15">
      <c r="A304" s="16"/>
    </row>
    <row r="305" spans="1:1" x14ac:dyDescent="0.15">
      <c r="A305" s="16"/>
    </row>
    <row r="306" spans="1:1" x14ac:dyDescent="0.15">
      <c r="A306" s="16"/>
    </row>
    <row r="307" spans="1:1" x14ac:dyDescent="0.15">
      <c r="A307" s="16"/>
    </row>
    <row r="308" spans="1:1" x14ac:dyDescent="0.15">
      <c r="A308" s="16"/>
    </row>
    <row r="309" spans="1:1" x14ac:dyDescent="0.15">
      <c r="A309" s="16"/>
    </row>
    <row r="310" spans="1:1" x14ac:dyDescent="0.15">
      <c r="A310" s="16"/>
    </row>
    <row r="311" spans="1:1" x14ac:dyDescent="0.15">
      <c r="A311" s="16"/>
    </row>
    <row r="312" spans="1:1" x14ac:dyDescent="0.15">
      <c r="A312" s="16"/>
    </row>
    <row r="313" spans="1:1" x14ac:dyDescent="0.15">
      <c r="A313" s="16"/>
    </row>
    <row r="314" spans="1:1" x14ac:dyDescent="0.15">
      <c r="A314" s="16"/>
    </row>
    <row r="315" spans="1:1" x14ac:dyDescent="0.15">
      <c r="A315" s="16"/>
    </row>
    <row r="316" spans="1:1" x14ac:dyDescent="0.15">
      <c r="A316" s="16"/>
    </row>
    <row r="317" spans="1:1" x14ac:dyDescent="0.15">
      <c r="A317" s="16"/>
    </row>
    <row r="318" spans="1:1" x14ac:dyDescent="0.15">
      <c r="A318" s="16"/>
    </row>
    <row r="319" spans="1:1" x14ac:dyDescent="0.15">
      <c r="A319" s="16"/>
    </row>
    <row r="320" spans="1:1" x14ac:dyDescent="0.15">
      <c r="A320" s="16"/>
    </row>
    <row r="321" spans="1:1" x14ac:dyDescent="0.15">
      <c r="A321" s="16"/>
    </row>
    <row r="322" spans="1:1" x14ac:dyDescent="0.15">
      <c r="A322" s="16"/>
    </row>
    <row r="323" spans="1:1" x14ac:dyDescent="0.15">
      <c r="A323" s="16"/>
    </row>
    <row r="324" spans="1:1" x14ac:dyDescent="0.15">
      <c r="A324" s="16"/>
    </row>
    <row r="325" spans="1:1" x14ac:dyDescent="0.15">
      <c r="A325" s="16"/>
    </row>
    <row r="326" spans="1:1" x14ac:dyDescent="0.15">
      <c r="A326" s="16"/>
    </row>
    <row r="327" spans="1:1" x14ac:dyDescent="0.15">
      <c r="A327" s="16"/>
    </row>
    <row r="328" spans="1:1" x14ac:dyDescent="0.15">
      <c r="A328" s="16"/>
    </row>
    <row r="329" spans="1:1" x14ac:dyDescent="0.15">
      <c r="A329" s="16"/>
    </row>
    <row r="330" spans="1:1" x14ac:dyDescent="0.15">
      <c r="A330" s="16"/>
    </row>
    <row r="331" spans="1:1" x14ac:dyDescent="0.15">
      <c r="A331" s="16"/>
    </row>
    <row r="332" spans="1:1" x14ac:dyDescent="0.15">
      <c r="A332" s="16"/>
    </row>
    <row r="333" spans="1:1" x14ac:dyDescent="0.15">
      <c r="A333" s="16"/>
    </row>
    <row r="334" spans="1:1" x14ac:dyDescent="0.15">
      <c r="A334" s="16"/>
    </row>
    <row r="335" spans="1:1" x14ac:dyDescent="0.15">
      <c r="A335" s="16"/>
    </row>
    <row r="336" spans="1:1" x14ac:dyDescent="0.15">
      <c r="A336" s="16"/>
    </row>
    <row r="337" spans="1:1" x14ac:dyDescent="0.15">
      <c r="A337" s="16"/>
    </row>
    <row r="338" spans="1:1" x14ac:dyDescent="0.15">
      <c r="A338" s="16"/>
    </row>
    <row r="339" spans="1:1" x14ac:dyDescent="0.15">
      <c r="A339" s="16"/>
    </row>
    <row r="340" spans="1:1" x14ac:dyDescent="0.15">
      <c r="A340" s="16"/>
    </row>
    <row r="341" spans="1:1" x14ac:dyDescent="0.15">
      <c r="A341" s="16"/>
    </row>
    <row r="342" spans="1:1" x14ac:dyDescent="0.15">
      <c r="A342" s="16"/>
    </row>
    <row r="343" spans="1:1" x14ac:dyDescent="0.15">
      <c r="A343" s="16"/>
    </row>
    <row r="344" spans="1:1" x14ac:dyDescent="0.15">
      <c r="A344" s="16"/>
    </row>
    <row r="345" spans="1:1" x14ac:dyDescent="0.15">
      <c r="A345" s="16"/>
    </row>
    <row r="346" spans="1:1" x14ac:dyDescent="0.15">
      <c r="A346" s="16"/>
    </row>
    <row r="347" spans="1:1" x14ac:dyDescent="0.15">
      <c r="A347" s="16"/>
    </row>
    <row r="348" spans="1:1" x14ac:dyDescent="0.15">
      <c r="A348" s="16"/>
    </row>
    <row r="349" spans="1:1" x14ac:dyDescent="0.15">
      <c r="A349" s="16"/>
    </row>
    <row r="350" spans="1:1" x14ac:dyDescent="0.15">
      <c r="A350" s="16"/>
    </row>
    <row r="351" spans="1:1" x14ac:dyDescent="0.15">
      <c r="A351" s="16"/>
    </row>
    <row r="352" spans="1:1" x14ac:dyDescent="0.15">
      <c r="A352" s="16"/>
    </row>
    <row r="353" spans="1:1" x14ac:dyDescent="0.15">
      <c r="A353" s="16"/>
    </row>
    <row r="354" spans="1:1" x14ac:dyDescent="0.15">
      <c r="A354" s="16"/>
    </row>
    <row r="355" spans="1:1" x14ac:dyDescent="0.15">
      <c r="A355" s="16"/>
    </row>
    <row r="356" spans="1:1" x14ac:dyDescent="0.15">
      <c r="A356" s="16"/>
    </row>
    <row r="357" spans="1:1" x14ac:dyDescent="0.15">
      <c r="A357" s="16"/>
    </row>
    <row r="358" spans="1:1" x14ac:dyDescent="0.15">
      <c r="A358" s="16"/>
    </row>
    <row r="359" spans="1:1" x14ac:dyDescent="0.15">
      <c r="A359" s="16"/>
    </row>
    <row r="360" spans="1:1" x14ac:dyDescent="0.15">
      <c r="A360" s="16"/>
    </row>
    <row r="361" spans="1:1" x14ac:dyDescent="0.15">
      <c r="A361" s="16"/>
    </row>
    <row r="362" spans="1:1" x14ac:dyDescent="0.15">
      <c r="A362" s="16"/>
    </row>
    <row r="363" spans="1:1" x14ac:dyDescent="0.15">
      <c r="A363" s="16"/>
    </row>
    <row r="364" spans="1:1" x14ac:dyDescent="0.15">
      <c r="A364" s="16"/>
    </row>
    <row r="365" spans="1:1" x14ac:dyDescent="0.15">
      <c r="A365" s="16"/>
    </row>
    <row r="366" spans="1:1" x14ac:dyDescent="0.15">
      <c r="A366" s="16"/>
    </row>
    <row r="367" spans="1:1" x14ac:dyDescent="0.15">
      <c r="A367" s="16"/>
    </row>
    <row r="368" spans="1:1" x14ac:dyDescent="0.15">
      <c r="A368" s="16"/>
    </row>
    <row r="369" spans="1:1" x14ac:dyDescent="0.15">
      <c r="A369" s="16"/>
    </row>
    <row r="370" spans="1:1" x14ac:dyDescent="0.15">
      <c r="A370" s="16"/>
    </row>
    <row r="371" spans="1:1" x14ac:dyDescent="0.15">
      <c r="A371" s="16"/>
    </row>
    <row r="372" spans="1:1" x14ac:dyDescent="0.15">
      <c r="A372" s="16"/>
    </row>
    <row r="373" spans="1:1" x14ac:dyDescent="0.15">
      <c r="A373" s="16"/>
    </row>
    <row r="374" spans="1:1" x14ac:dyDescent="0.15">
      <c r="A374" s="16"/>
    </row>
    <row r="375" spans="1:1" x14ac:dyDescent="0.15">
      <c r="A375" s="16"/>
    </row>
    <row r="376" spans="1:1" x14ac:dyDescent="0.15">
      <c r="A376" s="16"/>
    </row>
    <row r="377" spans="1:1" x14ac:dyDescent="0.15">
      <c r="A377" s="16"/>
    </row>
    <row r="378" spans="1:1" x14ac:dyDescent="0.15">
      <c r="A378" s="16"/>
    </row>
    <row r="379" spans="1:1" x14ac:dyDescent="0.15">
      <c r="A379" s="16"/>
    </row>
    <row r="380" spans="1:1" x14ac:dyDescent="0.15">
      <c r="A380" s="16"/>
    </row>
    <row r="381" spans="1:1" x14ac:dyDescent="0.15">
      <c r="A381" s="16"/>
    </row>
    <row r="382" spans="1:1" x14ac:dyDescent="0.15">
      <c r="A382" s="16"/>
    </row>
    <row r="383" spans="1:1" x14ac:dyDescent="0.15">
      <c r="A383" s="16"/>
    </row>
    <row r="384" spans="1:1" x14ac:dyDescent="0.15">
      <c r="A384" s="16"/>
    </row>
    <row r="385" spans="1:1" x14ac:dyDescent="0.15">
      <c r="A385" s="16"/>
    </row>
    <row r="386" spans="1:1" x14ac:dyDescent="0.15">
      <c r="A386" s="16"/>
    </row>
    <row r="387" spans="1:1" x14ac:dyDescent="0.15">
      <c r="A387" s="16"/>
    </row>
    <row r="388" spans="1:1" x14ac:dyDescent="0.15">
      <c r="A388" s="16"/>
    </row>
    <row r="389" spans="1:1" x14ac:dyDescent="0.15">
      <c r="A389" s="16"/>
    </row>
    <row r="390" spans="1:1" x14ac:dyDescent="0.15">
      <c r="A390" s="16"/>
    </row>
    <row r="391" spans="1:1" x14ac:dyDescent="0.15">
      <c r="A391" s="16"/>
    </row>
    <row r="392" spans="1:1" x14ac:dyDescent="0.15">
      <c r="A392" s="16"/>
    </row>
    <row r="393" spans="1:1" x14ac:dyDescent="0.15">
      <c r="A393" s="16"/>
    </row>
    <row r="394" spans="1:1" x14ac:dyDescent="0.15">
      <c r="A394" s="16"/>
    </row>
    <row r="395" spans="1:1" x14ac:dyDescent="0.15">
      <c r="A395" s="16"/>
    </row>
    <row r="396" spans="1:1" x14ac:dyDescent="0.15">
      <c r="A396" s="16"/>
    </row>
    <row r="397" spans="1:1" x14ac:dyDescent="0.15">
      <c r="A397" s="16"/>
    </row>
    <row r="398" spans="1:1" x14ac:dyDescent="0.15">
      <c r="A398" s="16"/>
    </row>
    <row r="399" spans="1:1" x14ac:dyDescent="0.15">
      <c r="A399" s="16"/>
    </row>
    <row r="400" spans="1:1" x14ac:dyDescent="0.15">
      <c r="A400" s="16"/>
    </row>
    <row r="401" spans="1:1" x14ac:dyDescent="0.15">
      <c r="A401" s="16"/>
    </row>
    <row r="402" spans="1:1" x14ac:dyDescent="0.15">
      <c r="A402" s="16"/>
    </row>
    <row r="403" spans="1:1" x14ac:dyDescent="0.15">
      <c r="A403" s="16"/>
    </row>
    <row r="404" spans="1:1" x14ac:dyDescent="0.15">
      <c r="A404" s="16"/>
    </row>
    <row r="405" spans="1:1" x14ac:dyDescent="0.15">
      <c r="A405" s="16"/>
    </row>
    <row r="406" spans="1:1" x14ac:dyDescent="0.15">
      <c r="A406" s="16"/>
    </row>
    <row r="407" spans="1:1" x14ac:dyDescent="0.15">
      <c r="A407" s="16"/>
    </row>
    <row r="408" spans="1:1" x14ac:dyDescent="0.15">
      <c r="A408" s="16"/>
    </row>
    <row r="409" spans="1:1" x14ac:dyDescent="0.15">
      <c r="A409" s="16"/>
    </row>
    <row r="410" spans="1:1" x14ac:dyDescent="0.15">
      <c r="A410" s="16"/>
    </row>
    <row r="411" spans="1:1" x14ac:dyDescent="0.15">
      <c r="A411" s="16"/>
    </row>
    <row r="412" spans="1:1" x14ac:dyDescent="0.15">
      <c r="A412" s="16"/>
    </row>
    <row r="413" spans="1:1" x14ac:dyDescent="0.15">
      <c r="A413" s="16"/>
    </row>
    <row r="414" spans="1:1" x14ac:dyDescent="0.15">
      <c r="A414" s="16"/>
    </row>
    <row r="415" spans="1:1" x14ac:dyDescent="0.15">
      <c r="A415" s="16"/>
    </row>
    <row r="416" spans="1:1" x14ac:dyDescent="0.15">
      <c r="A416" s="16"/>
    </row>
    <row r="417" spans="1:1" x14ac:dyDescent="0.15">
      <c r="A417" s="16"/>
    </row>
    <row r="418" spans="1:1" x14ac:dyDescent="0.15">
      <c r="A418" s="16"/>
    </row>
    <row r="419" spans="1:1" x14ac:dyDescent="0.15">
      <c r="A419" s="16"/>
    </row>
    <row r="420" spans="1:1" x14ac:dyDescent="0.15">
      <c r="A420" s="16"/>
    </row>
    <row r="421" spans="1:1" x14ac:dyDescent="0.15">
      <c r="A421" s="16"/>
    </row>
    <row r="422" spans="1:1" x14ac:dyDescent="0.15">
      <c r="A422" s="16"/>
    </row>
    <row r="423" spans="1:1" x14ac:dyDescent="0.15">
      <c r="A423" s="16"/>
    </row>
    <row r="424" spans="1:1" x14ac:dyDescent="0.15">
      <c r="A424" s="16"/>
    </row>
    <row r="425" spans="1:1" x14ac:dyDescent="0.15">
      <c r="A425" s="16"/>
    </row>
    <row r="426" spans="1:1" x14ac:dyDescent="0.15">
      <c r="A426" s="16"/>
    </row>
    <row r="427" spans="1:1" x14ac:dyDescent="0.15">
      <c r="A427" s="16"/>
    </row>
    <row r="428" spans="1:1" x14ac:dyDescent="0.15">
      <c r="A428" s="16"/>
    </row>
    <row r="429" spans="1:1" x14ac:dyDescent="0.15">
      <c r="A429" s="16"/>
    </row>
    <row r="430" spans="1:1" x14ac:dyDescent="0.15">
      <c r="A430" s="16"/>
    </row>
    <row r="431" spans="1:1" x14ac:dyDescent="0.15">
      <c r="A431" s="16"/>
    </row>
    <row r="432" spans="1:1" x14ac:dyDescent="0.15">
      <c r="A432" s="16"/>
    </row>
    <row r="433" spans="1:1" x14ac:dyDescent="0.15">
      <c r="A433" s="16"/>
    </row>
    <row r="434" spans="1:1" x14ac:dyDescent="0.15">
      <c r="A434" s="16"/>
    </row>
    <row r="435" spans="1:1" x14ac:dyDescent="0.15">
      <c r="A435" s="16"/>
    </row>
    <row r="436" spans="1:1" x14ac:dyDescent="0.15">
      <c r="A436" s="16"/>
    </row>
    <row r="437" spans="1:1" x14ac:dyDescent="0.15">
      <c r="A437" s="16"/>
    </row>
    <row r="438" spans="1:1" x14ac:dyDescent="0.15">
      <c r="A438" s="16"/>
    </row>
    <row r="439" spans="1:1" x14ac:dyDescent="0.15">
      <c r="A439" s="16"/>
    </row>
    <row r="440" spans="1:1" x14ac:dyDescent="0.15">
      <c r="A440" s="16"/>
    </row>
    <row r="441" spans="1:1" x14ac:dyDescent="0.15">
      <c r="A441" s="16"/>
    </row>
    <row r="442" spans="1:1" x14ac:dyDescent="0.15">
      <c r="A442" s="16"/>
    </row>
    <row r="443" spans="1:1" x14ac:dyDescent="0.15">
      <c r="A443" s="16"/>
    </row>
    <row r="444" spans="1:1" x14ac:dyDescent="0.15">
      <c r="A444" s="16"/>
    </row>
    <row r="445" spans="1:1" x14ac:dyDescent="0.15">
      <c r="A445" s="16"/>
    </row>
    <row r="446" spans="1:1" x14ac:dyDescent="0.15">
      <c r="A446" s="16"/>
    </row>
    <row r="447" spans="1:1" x14ac:dyDescent="0.15">
      <c r="A447" s="16"/>
    </row>
    <row r="448" spans="1:1" x14ac:dyDescent="0.15">
      <c r="A448" s="16"/>
    </row>
    <row r="449" spans="1:1" x14ac:dyDescent="0.15">
      <c r="A449" s="16"/>
    </row>
    <row r="450" spans="1:1" x14ac:dyDescent="0.15">
      <c r="A450" s="16"/>
    </row>
    <row r="451" spans="1:1" x14ac:dyDescent="0.15">
      <c r="A451" s="16"/>
    </row>
    <row r="452" spans="1:1" x14ac:dyDescent="0.15">
      <c r="A452" s="16"/>
    </row>
    <row r="453" spans="1:1" x14ac:dyDescent="0.15">
      <c r="A453" s="16"/>
    </row>
    <row r="454" spans="1:1" x14ac:dyDescent="0.15">
      <c r="A454" s="16"/>
    </row>
    <row r="455" spans="1:1" x14ac:dyDescent="0.15">
      <c r="A455" s="16"/>
    </row>
    <row r="456" spans="1:1" x14ac:dyDescent="0.15">
      <c r="A456" s="16"/>
    </row>
    <row r="457" spans="1:1" x14ac:dyDescent="0.15">
      <c r="A457" s="16"/>
    </row>
    <row r="458" spans="1:1" x14ac:dyDescent="0.15">
      <c r="A458" s="16"/>
    </row>
    <row r="459" spans="1:1" x14ac:dyDescent="0.15">
      <c r="A459" s="16"/>
    </row>
    <row r="460" spans="1:1" x14ac:dyDescent="0.15">
      <c r="A460" s="16"/>
    </row>
    <row r="461" spans="1:1" x14ac:dyDescent="0.15">
      <c r="A461" s="16"/>
    </row>
    <row r="462" spans="1:1" x14ac:dyDescent="0.15">
      <c r="A462" s="16"/>
    </row>
    <row r="463" spans="1:1" x14ac:dyDescent="0.15">
      <c r="A463" s="16"/>
    </row>
    <row r="464" spans="1:1" x14ac:dyDescent="0.15">
      <c r="A464" s="16"/>
    </row>
    <row r="465" spans="1:1" x14ac:dyDescent="0.15">
      <c r="A465" s="16"/>
    </row>
    <row r="466" spans="1:1" x14ac:dyDescent="0.15">
      <c r="A466" s="16"/>
    </row>
    <row r="467" spans="1:1" x14ac:dyDescent="0.15">
      <c r="A467" s="16"/>
    </row>
    <row r="468" spans="1:1" x14ac:dyDescent="0.15">
      <c r="A468" s="16"/>
    </row>
    <row r="469" spans="1:1" x14ac:dyDescent="0.15">
      <c r="A469" s="16"/>
    </row>
    <row r="470" spans="1:1" x14ac:dyDescent="0.15">
      <c r="A470" s="16"/>
    </row>
    <row r="471" spans="1:1" x14ac:dyDescent="0.15">
      <c r="A471" s="16"/>
    </row>
    <row r="472" spans="1:1" x14ac:dyDescent="0.15">
      <c r="A472" s="16"/>
    </row>
    <row r="473" spans="1:1" x14ac:dyDescent="0.15">
      <c r="A473" s="16"/>
    </row>
    <row r="474" spans="1:1" x14ac:dyDescent="0.15">
      <c r="A474" s="16"/>
    </row>
    <row r="475" spans="1:1" x14ac:dyDescent="0.15">
      <c r="A475" s="16"/>
    </row>
    <row r="476" spans="1:1" x14ac:dyDescent="0.15">
      <c r="A476" s="16"/>
    </row>
    <row r="477" spans="1:1" x14ac:dyDescent="0.15">
      <c r="A477" s="16"/>
    </row>
    <row r="478" spans="1:1" x14ac:dyDescent="0.15">
      <c r="A478" s="16"/>
    </row>
    <row r="479" spans="1:1" x14ac:dyDescent="0.15">
      <c r="A479" s="16"/>
    </row>
    <row r="480" spans="1:1" x14ac:dyDescent="0.15">
      <c r="A480" s="16"/>
    </row>
    <row r="481" spans="1:1" x14ac:dyDescent="0.15">
      <c r="A481" s="16"/>
    </row>
    <row r="482" spans="1:1" x14ac:dyDescent="0.15">
      <c r="A482" s="16"/>
    </row>
    <row r="483" spans="1:1" x14ac:dyDescent="0.15">
      <c r="A483" s="16"/>
    </row>
    <row r="484" spans="1:1" x14ac:dyDescent="0.15">
      <c r="A484" s="16"/>
    </row>
    <row r="485" spans="1:1" x14ac:dyDescent="0.15">
      <c r="A485" s="16"/>
    </row>
    <row r="486" spans="1:1" x14ac:dyDescent="0.15">
      <c r="A486" s="16"/>
    </row>
    <row r="487" spans="1:1" x14ac:dyDescent="0.15">
      <c r="A487" s="16"/>
    </row>
    <row r="488" spans="1:1" x14ac:dyDescent="0.15">
      <c r="A488" s="16"/>
    </row>
    <row r="489" spans="1:1" x14ac:dyDescent="0.15">
      <c r="A489" s="16"/>
    </row>
    <row r="490" spans="1:1" x14ac:dyDescent="0.15">
      <c r="A490" s="16"/>
    </row>
    <row r="491" spans="1:1" x14ac:dyDescent="0.15">
      <c r="A491" s="16"/>
    </row>
    <row r="492" spans="1:1" x14ac:dyDescent="0.15">
      <c r="A492" s="16"/>
    </row>
    <row r="493" spans="1:1" x14ac:dyDescent="0.15">
      <c r="A493" s="16"/>
    </row>
    <row r="494" spans="1:1" x14ac:dyDescent="0.15">
      <c r="A494" s="16"/>
    </row>
    <row r="495" spans="1:1" x14ac:dyDescent="0.15">
      <c r="A495" s="16"/>
    </row>
    <row r="496" spans="1:1" x14ac:dyDescent="0.15">
      <c r="A496" s="16"/>
    </row>
    <row r="497" spans="1:1" x14ac:dyDescent="0.15">
      <c r="A497" s="16"/>
    </row>
    <row r="498" spans="1:1" x14ac:dyDescent="0.15">
      <c r="A498" s="16"/>
    </row>
    <row r="499" spans="1:1" x14ac:dyDescent="0.15">
      <c r="A499" s="16"/>
    </row>
    <row r="500" spans="1:1" x14ac:dyDescent="0.15">
      <c r="A500" s="16"/>
    </row>
    <row r="501" spans="1:1" x14ac:dyDescent="0.15">
      <c r="A501" s="16"/>
    </row>
    <row r="502" spans="1:1" x14ac:dyDescent="0.15">
      <c r="A502" s="16"/>
    </row>
    <row r="503" spans="1:1" x14ac:dyDescent="0.15">
      <c r="A503" s="16"/>
    </row>
    <row r="504" spans="1:1" x14ac:dyDescent="0.15">
      <c r="A504" s="16"/>
    </row>
    <row r="505" spans="1:1" x14ac:dyDescent="0.15">
      <c r="A505" s="16"/>
    </row>
    <row r="506" spans="1:1" x14ac:dyDescent="0.15">
      <c r="A506" s="16"/>
    </row>
    <row r="507" spans="1:1" x14ac:dyDescent="0.15">
      <c r="A507" s="16"/>
    </row>
    <row r="508" spans="1:1" x14ac:dyDescent="0.15">
      <c r="A508" s="16"/>
    </row>
    <row r="509" spans="1:1" x14ac:dyDescent="0.15">
      <c r="A509" s="16"/>
    </row>
    <row r="510" spans="1:1" x14ac:dyDescent="0.15">
      <c r="A510" s="16"/>
    </row>
    <row r="511" spans="1:1" x14ac:dyDescent="0.15">
      <c r="A511" s="16"/>
    </row>
    <row r="512" spans="1:1" x14ac:dyDescent="0.15">
      <c r="A512" s="16"/>
    </row>
    <row r="513" spans="1:1" x14ac:dyDescent="0.15">
      <c r="A513" s="16"/>
    </row>
    <row r="514" spans="1:1" x14ac:dyDescent="0.15">
      <c r="A514" s="16"/>
    </row>
    <row r="515" spans="1:1" x14ac:dyDescent="0.15">
      <c r="A515" s="16"/>
    </row>
    <row r="516" spans="1:1" x14ac:dyDescent="0.15">
      <c r="A516" s="16"/>
    </row>
    <row r="517" spans="1:1" x14ac:dyDescent="0.15">
      <c r="A517" s="16"/>
    </row>
    <row r="518" spans="1:1" x14ac:dyDescent="0.15">
      <c r="A518" s="16"/>
    </row>
    <row r="519" spans="1:1" x14ac:dyDescent="0.15">
      <c r="A519" s="16"/>
    </row>
    <row r="520" spans="1:1" x14ac:dyDescent="0.15">
      <c r="A520" s="16"/>
    </row>
    <row r="521" spans="1:1" x14ac:dyDescent="0.15">
      <c r="A521" s="16"/>
    </row>
    <row r="522" spans="1:1" x14ac:dyDescent="0.15">
      <c r="A522" s="16"/>
    </row>
    <row r="523" spans="1:1" x14ac:dyDescent="0.15">
      <c r="A523" s="16"/>
    </row>
    <row r="524" spans="1:1" x14ac:dyDescent="0.15">
      <c r="A524" s="16"/>
    </row>
    <row r="525" spans="1:1" x14ac:dyDescent="0.15">
      <c r="A525" s="16"/>
    </row>
    <row r="526" spans="1:1" x14ac:dyDescent="0.15">
      <c r="A526" s="16"/>
    </row>
    <row r="527" spans="1:1" x14ac:dyDescent="0.15">
      <c r="A527" s="16"/>
    </row>
    <row r="528" spans="1:1" x14ac:dyDescent="0.15">
      <c r="A528" s="16"/>
    </row>
    <row r="529" spans="1:1" x14ac:dyDescent="0.15">
      <c r="A529" s="16"/>
    </row>
    <row r="530" spans="1:1" x14ac:dyDescent="0.15">
      <c r="A530" s="16"/>
    </row>
    <row r="531" spans="1:1" x14ac:dyDescent="0.15">
      <c r="A531" s="16"/>
    </row>
    <row r="532" spans="1:1" x14ac:dyDescent="0.15">
      <c r="A532" s="16"/>
    </row>
    <row r="533" spans="1:1" x14ac:dyDescent="0.15">
      <c r="A533" s="16"/>
    </row>
    <row r="534" spans="1:1" x14ac:dyDescent="0.15">
      <c r="A534" s="16"/>
    </row>
    <row r="535" spans="1:1" x14ac:dyDescent="0.15">
      <c r="A535" s="16"/>
    </row>
    <row r="536" spans="1:1" x14ac:dyDescent="0.15">
      <c r="A536" s="16"/>
    </row>
    <row r="537" spans="1:1" x14ac:dyDescent="0.15">
      <c r="A537" s="16"/>
    </row>
    <row r="538" spans="1:1" x14ac:dyDescent="0.15">
      <c r="A538" s="16"/>
    </row>
    <row r="539" spans="1:1" x14ac:dyDescent="0.15">
      <c r="A539" s="16"/>
    </row>
    <row r="540" spans="1:1" x14ac:dyDescent="0.15">
      <c r="A540" s="16"/>
    </row>
    <row r="541" spans="1:1" x14ac:dyDescent="0.15">
      <c r="A541" s="16"/>
    </row>
    <row r="542" spans="1:1" x14ac:dyDescent="0.15">
      <c r="A542" s="16"/>
    </row>
    <row r="543" spans="1:1" x14ac:dyDescent="0.15">
      <c r="A543" s="16"/>
    </row>
    <row r="544" spans="1:1" x14ac:dyDescent="0.15">
      <c r="A544" s="16"/>
    </row>
    <row r="545" spans="1:1" x14ac:dyDescent="0.15">
      <c r="A545" s="16"/>
    </row>
    <row r="546" spans="1:1" x14ac:dyDescent="0.15">
      <c r="A546" s="16"/>
    </row>
    <row r="547" spans="1:1" x14ac:dyDescent="0.15">
      <c r="A547" s="16"/>
    </row>
    <row r="548" spans="1:1" x14ac:dyDescent="0.15">
      <c r="A548" s="16"/>
    </row>
    <row r="549" spans="1:1" x14ac:dyDescent="0.15">
      <c r="A549" s="16"/>
    </row>
    <row r="550" spans="1:1" x14ac:dyDescent="0.15">
      <c r="A550" s="16"/>
    </row>
    <row r="551" spans="1:1" x14ac:dyDescent="0.15">
      <c r="A551" s="16"/>
    </row>
    <row r="552" spans="1:1" x14ac:dyDescent="0.15">
      <c r="A552" s="16"/>
    </row>
    <row r="553" spans="1:1" x14ac:dyDescent="0.15">
      <c r="A553" s="16"/>
    </row>
    <row r="554" spans="1:1" x14ac:dyDescent="0.15">
      <c r="A554" s="16"/>
    </row>
    <row r="555" spans="1:1" x14ac:dyDescent="0.15">
      <c r="A555" s="16"/>
    </row>
    <row r="556" spans="1:1" x14ac:dyDescent="0.15">
      <c r="A556" s="16"/>
    </row>
    <row r="557" spans="1:1" x14ac:dyDescent="0.15">
      <c r="A557" s="16"/>
    </row>
    <row r="558" spans="1:1" x14ac:dyDescent="0.15">
      <c r="A558" s="16"/>
    </row>
    <row r="559" spans="1:1" x14ac:dyDescent="0.15">
      <c r="A559" s="16"/>
    </row>
    <row r="560" spans="1:1" x14ac:dyDescent="0.15">
      <c r="A560" s="16"/>
    </row>
    <row r="561" spans="1:1" x14ac:dyDescent="0.15">
      <c r="A561" s="16"/>
    </row>
    <row r="562" spans="1:1" x14ac:dyDescent="0.15">
      <c r="A562" s="16"/>
    </row>
    <row r="563" spans="1:1" x14ac:dyDescent="0.15">
      <c r="A563" s="16"/>
    </row>
    <row r="564" spans="1:1" x14ac:dyDescent="0.15">
      <c r="A564" s="16"/>
    </row>
    <row r="565" spans="1:1" x14ac:dyDescent="0.15">
      <c r="A565" s="16"/>
    </row>
    <row r="566" spans="1:1" x14ac:dyDescent="0.15">
      <c r="A566" s="16"/>
    </row>
    <row r="567" spans="1:1" x14ac:dyDescent="0.15">
      <c r="A567" s="16"/>
    </row>
    <row r="568" spans="1:1" x14ac:dyDescent="0.15">
      <c r="A568" s="16"/>
    </row>
    <row r="569" spans="1:1" x14ac:dyDescent="0.15">
      <c r="A569" s="16"/>
    </row>
    <row r="570" spans="1:1" x14ac:dyDescent="0.15">
      <c r="A570" s="16"/>
    </row>
    <row r="571" spans="1:1" x14ac:dyDescent="0.15">
      <c r="A571" s="16"/>
    </row>
    <row r="572" spans="1:1" x14ac:dyDescent="0.15">
      <c r="A572" s="16"/>
    </row>
    <row r="573" spans="1:1" x14ac:dyDescent="0.15">
      <c r="A573" s="16"/>
    </row>
    <row r="574" spans="1:1" x14ac:dyDescent="0.15">
      <c r="A574" s="16"/>
    </row>
    <row r="575" spans="1:1" x14ac:dyDescent="0.15">
      <c r="A575" s="16"/>
    </row>
    <row r="576" spans="1:1" x14ac:dyDescent="0.15">
      <c r="A576" s="16"/>
    </row>
    <row r="577" spans="1:1" x14ac:dyDescent="0.15">
      <c r="A577" s="16"/>
    </row>
    <row r="578" spans="1:1" x14ac:dyDescent="0.15">
      <c r="A578" s="16"/>
    </row>
    <row r="579" spans="1:1" x14ac:dyDescent="0.15">
      <c r="A579" s="16"/>
    </row>
    <row r="580" spans="1:1" x14ac:dyDescent="0.15">
      <c r="A580" s="16"/>
    </row>
    <row r="581" spans="1:1" x14ac:dyDescent="0.15">
      <c r="A581" s="16"/>
    </row>
    <row r="582" spans="1:1" x14ac:dyDescent="0.15">
      <c r="A582" s="16"/>
    </row>
    <row r="583" spans="1:1" x14ac:dyDescent="0.15">
      <c r="A583" s="16"/>
    </row>
    <row r="584" spans="1:1" x14ac:dyDescent="0.15">
      <c r="A584" s="16"/>
    </row>
    <row r="585" spans="1:1" x14ac:dyDescent="0.15">
      <c r="A585" s="16"/>
    </row>
    <row r="586" spans="1:1" x14ac:dyDescent="0.15">
      <c r="A586" s="16"/>
    </row>
    <row r="587" spans="1:1" x14ac:dyDescent="0.15">
      <c r="A587" s="16"/>
    </row>
    <row r="588" spans="1:1" x14ac:dyDescent="0.15">
      <c r="A588" s="16"/>
    </row>
    <row r="589" spans="1:1" x14ac:dyDescent="0.15">
      <c r="A589" s="16"/>
    </row>
    <row r="590" spans="1:1" x14ac:dyDescent="0.15">
      <c r="A590" s="16"/>
    </row>
    <row r="591" spans="1:1" x14ac:dyDescent="0.15">
      <c r="A591" s="16"/>
    </row>
    <row r="592" spans="1:1" x14ac:dyDescent="0.15">
      <c r="A592" s="16"/>
    </row>
    <row r="593" spans="1:1" x14ac:dyDescent="0.15">
      <c r="A593" s="16"/>
    </row>
    <row r="594" spans="1:1" x14ac:dyDescent="0.15">
      <c r="A594" s="16"/>
    </row>
    <row r="595" spans="1:1" x14ac:dyDescent="0.15">
      <c r="A595" s="16"/>
    </row>
    <row r="596" spans="1:1" x14ac:dyDescent="0.15">
      <c r="A596" s="16"/>
    </row>
    <row r="597" spans="1:1" x14ac:dyDescent="0.15">
      <c r="A597" s="16"/>
    </row>
    <row r="598" spans="1:1" x14ac:dyDescent="0.15">
      <c r="A598" s="16"/>
    </row>
    <row r="599" spans="1:1" x14ac:dyDescent="0.15">
      <c r="A599" s="16"/>
    </row>
    <row r="600" spans="1:1" x14ac:dyDescent="0.15">
      <c r="A600" s="16"/>
    </row>
    <row r="601" spans="1:1" x14ac:dyDescent="0.15">
      <c r="A601" s="16"/>
    </row>
    <row r="602" spans="1:1" x14ac:dyDescent="0.15">
      <c r="A602" s="16"/>
    </row>
    <row r="603" spans="1:1" x14ac:dyDescent="0.15">
      <c r="A603" s="16"/>
    </row>
    <row r="604" spans="1:1" x14ac:dyDescent="0.15">
      <c r="A604" s="16"/>
    </row>
    <row r="605" spans="1:1" x14ac:dyDescent="0.15">
      <c r="A605" s="16"/>
    </row>
    <row r="606" spans="1:1" x14ac:dyDescent="0.15">
      <c r="A606" s="16"/>
    </row>
    <row r="607" spans="1:1" x14ac:dyDescent="0.15">
      <c r="A607" s="16"/>
    </row>
    <row r="608" spans="1:1" x14ac:dyDescent="0.15">
      <c r="A608" s="16"/>
    </row>
    <row r="609" spans="1:1" x14ac:dyDescent="0.15">
      <c r="A609" s="16"/>
    </row>
    <row r="610" spans="1:1" x14ac:dyDescent="0.15">
      <c r="A610" s="16"/>
    </row>
    <row r="611" spans="1:1" x14ac:dyDescent="0.15">
      <c r="A611" s="16"/>
    </row>
    <row r="612" spans="1:1" x14ac:dyDescent="0.15">
      <c r="A612" s="16"/>
    </row>
    <row r="613" spans="1:1" x14ac:dyDescent="0.15">
      <c r="A613" s="16"/>
    </row>
    <row r="614" spans="1:1" x14ac:dyDescent="0.15">
      <c r="A614" s="16"/>
    </row>
    <row r="615" spans="1:1" x14ac:dyDescent="0.15">
      <c r="A615" s="16"/>
    </row>
    <row r="616" spans="1:1" x14ac:dyDescent="0.15">
      <c r="A616" s="16"/>
    </row>
    <row r="617" spans="1:1" x14ac:dyDescent="0.15">
      <c r="A617" s="16"/>
    </row>
    <row r="618" spans="1:1" x14ac:dyDescent="0.15">
      <c r="A618" s="16"/>
    </row>
    <row r="619" spans="1:1" x14ac:dyDescent="0.15">
      <c r="A619" s="16"/>
    </row>
    <row r="620" spans="1:1" x14ac:dyDescent="0.15">
      <c r="A620" s="16"/>
    </row>
    <row r="621" spans="1:1" x14ac:dyDescent="0.15">
      <c r="A621" s="16"/>
    </row>
    <row r="622" spans="1:1" x14ac:dyDescent="0.15">
      <c r="A622" s="16"/>
    </row>
    <row r="623" spans="1:1" x14ac:dyDescent="0.15">
      <c r="A623" s="16"/>
    </row>
    <row r="624" spans="1:1" x14ac:dyDescent="0.15">
      <c r="A624" s="16"/>
    </row>
    <row r="625" spans="1:1" x14ac:dyDescent="0.15">
      <c r="A625" s="16"/>
    </row>
    <row r="626" spans="1:1" x14ac:dyDescent="0.15">
      <c r="A626" s="16"/>
    </row>
    <row r="627" spans="1:1" x14ac:dyDescent="0.15">
      <c r="A627" s="16"/>
    </row>
    <row r="628" spans="1:1" x14ac:dyDescent="0.15">
      <c r="A628" s="16"/>
    </row>
    <row r="629" spans="1:1" x14ac:dyDescent="0.15">
      <c r="A629" s="16"/>
    </row>
    <row r="630" spans="1:1" x14ac:dyDescent="0.15">
      <c r="A630" s="16"/>
    </row>
    <row r="631" spans="1:1" x14ac:dyDescent="0.15">
      <c r="A631" s="16"/>
    </row>
    <row r="632" spans="1:1" x14ac:dyDescent="0.15">
      <c r="A632" s="16"/>
    </row>
    <row r="633" spans="1:1" x14ac:dyDescent="0.15">
      <c r="A633" s="16"/>
    </row>
    <row r="634" spans="1:1" x14ac:dyDescent="0.15">
      <c r="A634" s="16"/>
    </row>
    <row r="635" spans="1:1" x14ac:dyDescent="0.15">
      <c r="A635" s="16"/>
    </row>
    <row r="636" spans="1:1" x14ac:dyDescent="0.15">
      <c r="A636" s="16"/>
    </row>
    <row r="637" spans="1:1" x14ac:dyDescent="0.15">
      <c r="A637" s="16"/>
    </row>
    <row r="638" spans="1:1" x14ac:dyDescent="0.15">
      <c r="A638" s="16"/>
    </row>
    <row r="639" spans="1:1" x14ac:dyDescent="0.15">
      <c r="A639" s="16"/>
    </row>
    <row r="640" spans="1:1" x14ac:dyDescent="0.15">
      <c r="A640" s="16"/>
    </row>
    <row r="641" spans="1:1" x14ac:dyDescent="0.15">
      <c r="A641" s="16"/>
    </row>
    <row r="642" spans="1:1" x14ac:dyDescent="0.15">
      <c r="A642" s="16"/>
    </row>
    <row r="643" spans="1:1" x14ac:dyDescent="0.15">
      <c r="A643" s="16"/>
    </row>
    <row r="644" spans="1:1" x14ac:dyDescent="0.15">
      <c r="A644" s="16"/>
    </row>
    <row r="645" spans="1:1" x14ac:dyDescent="0.15">
      <c r="A645" s="16"/>
    </row>
    <row r="646" spans="1:1" x14ac:dyDescent="0.15">
      <c r="A646" s="16"/>
    </row>
    <row r="647" spans="1:1" x14ac:dyDescent="0.15">
      <c r="A647" s="16"/>
    </row>
    <row r="648" spans="1:1" x14ac:dyDescent="0.15">
      <c r="A648" s="16"/>
    </row>
    <row r="649" spans="1:1" x14ac:dyDescent="0.15">
      <c r="A649" s="16"/>
    </row>
    <row r="650" spans="1:1" x14ac:dyDescent="0.15">
      <c r="A650" s="16"/>
    </row>
    <row r="651" spans="1:1" x14ac:dyDescent="0.15">
      <c r="A651" s="16"/>
    </row>
    <row r="652" spans="1:1" x14ac:dyDescent="0.15">
      <c r="A652" s="16"/>
    </row>
    <row r="653" spans="1:1" x14ac:dyDescent="0.15">
      <c r="A653" s="16"/>
    </row>
    <row r="654" spans="1:1" x14ac:dyDescent="0.15">
      <c r="A654" s="16"/>
    </row>
    <row r="655" spans="1:1" x14ac:dyDescent="0.15">
      <c r="A655" s="16"/>
    </row>
    <row r="656" spans="1:1" x14ac:dyDescent="0.15">
      <c r="A656" s="16"/>
    </row>
    <row r="657" spans="1:1" x14ac:dyDescent="0.15">
      <c r="A657" s="16"/>
    </row>
    <row r="658" spans="1:1" x14ac:dyDescent="0.15">
      <c r="A658" s="16"/>
    </row>
    <row r="659" spans="1:1" x14ac:dyDescent="0.15">
      <c r="A659" s="16"/>
    </row>
    <row r="660" spans="1:1" x14ac:dyDescent="0.15">
      <c r="A660" s="16"/>
    </row>
    <row r="661" spans="1:1" x14ac:dyDescent="0.15">
      <c r="A661" s="16"/>
    </row>
    <row r="662" spans="1:1" x14ac:dyDescent="0.15">
      <c r="A662" s="16"/>
    </row>
    <row r="663" spans="1:1" x14ac:dyDescent="0.15">
      <c r="A663" s="16"/>
    </row>
    <row r="664" spans="1:1" x14ac:dyDescent="0.15">
      <c r="A664" s="16"/>
    </row>
    <row r="665" spans="1:1" x14ac:dyDescent="0.15">
      <c r="A665" s="16"/>
    </row>
    <row r="666" spans="1:1" x14ac:dyDescent="0.15">
      <c r="A666" s="16"/>
    </row>
    <row r="667" spans="1:1" x14ac:dyDescent="0.15">
      <c r="A667" s="16"/>
    </row>
    <row r="668" spans="1:1" x14ac:dyDescent="0.15">
      <c r="A668" s="16"/>
    </row>
    <row r="669" spans="1:1" x14ac:dyDescent="0.15">
      <c r="A669" s="16"/>
    </row>
    <row r="670" spans="1:1" x14ac:dyDescent="0.15">
      <c r="A670" s="16"/>
    </row>
    <row r="671" spans="1:1" x14ac:dyDescent="0.15">
      <c r="A671" s="16"/>
    </row>
    <row r="672" spans="1:1" x14ac:dyDescent="0.15">
      <c r="A672" s="16"/>
    </row>
    <row r="673" spans="1:1" x14ac:dyDescent="0.15">
      <c r="A673" s="16"/>
    </row>
    <row r="674" spans="1:1" x14ac:dyDescent="0.15">
      <c r="A674" s="16"/>
    </row>
    <row r="675" spans="1:1" x14ac:dyDescent="0.15">
      <c r="A675" s="16"/>
    </row>
    <row r="676" spans="1:1" x14ac:dyDescent="0.15">
      <c r="A676" s="16"/>
    </row>
    <row r="677" spans="1:1" x14ac:dyDescent="0.15">
      <c r="A677" s="16"/>
    </row>
    <row r="678" spans="1:1" x14ac:dyDescent="0.15">
      <c r="A678" s="16"/>
    </row>
    <row r="679" spans="1:1" x14ac:dyDescent="0.15">
      <c r="A679" s="16"/>
    </row>
    <row r="680" spans="1:1" x14ac:dyDescent="0.15">
      <c r="A680" s="16"/>
    </row>
    <row r="681" spans="1:1" x14ac:dyDescent="0.15">
      <c r="A681" s="16"/>
    </row>
    <row r="682" spans="1:1" x14ac:dyDescent="0.15">
      <c r="A682" s="16"/>
    </row>
    <row r="683" spans="1:1" x14ac:dyDescent="0.15">
      <c r="A683" s="16"/>
    </row>
    <row r="684" spans="1:1" x14ac:dyDescent="0.15">
      <c r="A684" s="16"/>
    </row>
    <row r="685" spans="1:1" x14ac:dyDescent="0.15">
      <c r="A685" s="16"/>
    </row>
    <row r="686" spans="1:1" x14ac:dyDescent="0.15">
      <c r="A686" s="16"/>
    </row>
    <row r="687" spans="1:1" x14ac:dyDescent="0.15">
      <c r="A687" s="16"/>
    </row>
    <row r="688" spans="1:1" x14ac:dyDescent="0.15">
      <c r="A688" s="16"/>
    </row>
    <row r="689" spans="1:1" x14ac:dyDescent="0.15">
      <c r="A689" s="16"/>
    </row>
    <row r="690" spans="1:1" x14ac:dyDescent="0.15">
      <c r="A690" s="16"/>
    </row>
    <row r="691" spans="1:1" x14ac:dyDescent="0.15">
      <c r="A691" s="16"/>
    </row>
    <row r="692" spans="1:1" x14ac:dyDescent="0.15">
      <c r="A692" s="16"/>
    </row>
    <row r="693" spans="1:1" x14ac:dyDescent="0.15">
      <c r="A693" s="16"/>
    </row>
    <row r="694" spans="1:1" x14ac:dyDescent="0.15">
      <c r="A694" s="16"/>
    </row>
    <row r="695" spans="1:1" x14ac:dyDescent="0.15">
      <c r="A695" s="16"/>
    </row>
    <row r="696" spans="1:1" x14ac:dyDescent="0.15">
      <c r="A696" s="16"/>
    </row>
    <row r="697" spans="1:1" x14ac:dyDescent="0.15">
      <c r="A697" s="16"/>
    </row>
    <row r="698" spans="1:1" x14ac:dyDescent="0.15">
      <c r="A698" s="16"/>
    </row>
    <row r="699" spans="1:1" x14ac:dyDescent="0.15">
      <c r="A699" s="16"/>
    </row>
    <row r="700" spans="1:1" x14ac:dyDescent="0.15">
      <c r="A700" s="16"/>
    </row>
    <row r="701" spans="1:1" x14ac:dyDescent="0.15">
      <c r="A701" s="16"/>
    </row>
    <row r="702" spans="1:1" x14ac:dyDescent="0.15">
      <c r="A702" s="16"/>
    </row>
    <row r="703" spans="1:1" x14ac:dyDescent="0.15">
      <c r="A703" s="16"/>
    </row>
    <row r="704" spans="1:1" x14ac:dyDescent="0.15">
      <c r="A704" s="16"/>
    </row>
    <row r="705" spans="1:1" x14ac:dyDescent="0.15">
      <c r="A705" s="16"/>
    </row>
    <row r="706" spans="1:1" x14ac:dyDescent="0.15">
      <c r="A706" s="16"/>
    </row>
    <row r="707" spans="1:1" x14ac:dyDescent="0.15">
      <c r="A707" s="16"/>
    </row>
    <row r="708" spans="1:1" x14ac:dyDescent="0.15">
      <c r="A708" s="16"/>
    </row>
    <row r="709" spans="1:1" x14ac:dyDescent="0.15">
      <c r="A709" s="16"/>
    </row>
    <row r="710" spans="1:1" x14ac:dyDescent="0.15">
      <c r="A710" s="16"/>
    </row>
    <row r="711" spans="1:1" x14ac:dyDescent="0.15">
      <c r="A711" s="16"/>
    </row>
    <row r="712" spans="1:1" x14ac:dyDescent="0.15">
      <c r="A712" s="16"/>
    </row>
    <row r="713" spans="1:1" x14ac:dyDescent="0.15">
      <c r="A713" s="16"/>
    </row>
    <row r="714" spans="1:1" x14ac:dyDescent="0.15">
      <c r="A714" s="16"/>
    </row>
    <row r="715" spans="1:1" x14ac:dyDescent="0.15">
      <c r="A715" s="16"/>
    </row>
    <row r="716" spans="1:1" x14ac:dyDescent="0.15">
      <c r="A716" s="16"/>
    </row>
    <row r="717" spans="1:1" x14ac:dyDescent="0.15">
      <c r="A717" s="16"/>
    </row>
    <row r="718" spans="1:1" x14ac:dyDescent="0.15">
      <c r="A718" s="16"/>
    </row>
    <row r="719" spans="1:1" x14ac:dyDescent="0.15">
      <c r="A719" s="16"/>
    </row>
    <row r="720" spans="1:1" x14ac:dyDescent="0.15">
      <c r="A720" s="16"/>
    </row>
    <row r="721" spans="1:1" x14ac:dyDescent="0.15">
      <c r="A721" s="16"/>
    </row>
    <row r="722" spans="1:1" x14ac:dyDescent="0.15">
      <c r="A722" s="16"/>
    </row>
    <row r="723" spans="1:1" x14ac:dyDescent="0.15">
      <c r="A723" s="16"/>
    </row>
    <row r="724" spans="1:1" x14ac:dyDescent="0.15">
      <c r="A724" s="16"/>
    </row>
    <row r="725" spans="1:1" x14ac:dyDescent="0.15">
      <c r="A725" s="16"/>
    </row>
    <row r="726" spans="1:1" x14ac:dyDescent="0.15">
      <c r="A726" s="16"/>
    </row>
    <row r="727" spans="1:1" x14ac:dyDescent="0.15">
      <c r="A727" s="16"/>
    </row>
    <row r="728" spans="1:1" x14ac:dyDescent="0.15">
      <c r="A728" s="16"/>
    </row>
    <row r="729" spans="1:1" x14ac:dyDescent="0.15">
      <c r="A729" s="16"/>
    </row>
    <row r="730" spans="1:1" x14ac:dyDescent="0.15">
      <c r="A730" s="16"/>
    </row>
    <row r="731" spans="1:1" x14ac:dyDescent="0.15">
      <c r="A731" s="16"/>
    </row>
    <row r="732" spans="1:1" x14ac:dyDescent="0.15">
      <c r="A732" s="16"/>
    </row>
    <row r="733" spans="1:1" x14ac:dyDescent="0.15">
      <c r="A733" s="16"/>
    </row>
    <row r="734" spans="1:1" x14ac:dyDescent="0.15">
      <c r="A734" s="16"/>
    </row>
    <row r="735" spans="1:1" x14ac:dyDescent="0.15">
      <c r="A735" s="16"/>
    </row>
    <row r="736" spans="1:1" x14ac:dyDescent="0.15">
      <c r="A736" s="16"/>
    </row>
    <row r="737" spans="1:1" x14ac:dyDescent="0.15">
      <c r="A737" s="16"/>
    </row>
    <row r="738" spans="1:1" x14ac:dyDescent="0.15">
      <c r="A738" s="16"/>
    </row>
    <row r="739" spans="1:1" x14ac:dyDescent="0.15">
      <c r="A739" s="16"/>
    </row>
    <row r="740" spans="1:1" x14ac:dyDescent="0.15">
      <c r="A740" s="16"/>
    </row>
    <row r="741" spans="1:1" x14ac:dyDescent="0.15">
      <c r="A741" s="16"/>
    </row>
    <row r="742" spans="1:1" x14ac:dyDescent="0.15">
      <c r="A742" s="16"/>
    </row>
    <row r="743" spans="1:1" x14ac:dyDescent="0.15">
      <c r="A743" s="16"/>
    </row>
    <row r="744" spans="1:1" x14ac:dyDescent="0.15">
      <c r="A744" s="16"/>
    </row>
    <row r="745" spans="1:1" x14ac:dyDescent="0.15">
      <c r="A745" s="16"/>
    </row>
    <row r="746" spans="1:1" x14ac:dyDescent="0.15">
      <c r="A746" s="16"/>
    </row>
    <row r="747" spans="1:1" x14ac:dyDescent="0.15">
      <c r="A747" s="16"/>
    </row>
    <row r="748" spans="1:1" x14ac:dyDescent="0.15">
      <c r="A748" s="16"/>
    </row>
    <row r="749" spans="1:1" x14ac:dyDescent="0.15">
      <c r="A749" s="16"/>
    </row>
    <row r="750" spans="1:1" x14ac:dyDescent="0.15">
      <c r="A750" s="16"/>
    </row>
    <row r="751" spans="1:1" x14ac:dyDescent="0.15">
      <c r="A751" s="16"/>
    </row>
    <row r="752" spans="1:1" x14ac:dyDescent="0.15">
      <c r="A752" s="16"/>
    </row>
    <row r="753" spans="1:1" x14ac:dyDescent="0.15">
      <c r="A753" s="16"/>
    </row>
    <row r="754" spans="1:1" x14ac:dyDescent="0.15">
      <c r="A754" s="16"/>
    </row>
    <row r="755" spans="1:1" x14ac:dyDescent="0.15">
      <c r="A755" s="16"/>
    </row>
    <row r="756" spans="1:1" x14ac:dyDescent="0.15">
      <c r="A756" s="16"/>
    </row>
    <row r="757" spans="1:1" x14ac:dyDescent="0.15">
      <c r="A757" s="16"/>
    </row>
    <row r="758" spans="1:1" x14ac:dyDescent="0.15">
      <c r="A758" s="16"/>
    </row>
    <row r="759" spans="1:1" x14ac:dyDescent="0.15">
      <c r="A759" s="16"/>
    </row>
    <row r="760" spans="1:1" x14ac:dyDescent="0.15">
      <c r="A760" s="16"/>
    </row>
    <row r="761" spans="1:1" x14ac:dyDescent="0.15">
      <c r="A761" s="16"/>
    </row>
    <row r="762" spans="1:1" x14ac:dyDescent="0.15">
      <c r="A762" s="16"/>
    </row>
    <row r="763" spans="1:1" x14ac:dyDescent="0.15">
      <c r="A763" s="16"/>
    </row>
    <row r="764" spans="1:1" x14ac:dyDescent="0.15">
      <c r="A764" s="16"/>
    </row>
    <row r="765" spans="1:1" x14ac:dyDescent="0.15">
      <c r="A765" s="16"/>
    </row>
    <row r="766" spans="1:1" x14ac:dyDescent="0.15">
      <c r="A766" s="16"/>
    </row>
    <row r="767" spans="1:1" x14ac:dyDescent="0.15">
      <c r="A767" s="16"/>
    </row>
    <row r="768" spans="1:1" x14ac:dyDescent="0.15">
      <c r="A768" s="16"/>
    </row>
    <row r="769" spans="1:1" x14ac:dyDescent="0.15">
      <c r="A769" s="16"/>
    </row>
    <row r="770" spans="1:1" x14ac:dyDescent="0.15">
      <c r="A770" s="16"/>
    </row>
    <row r="771" spans="1:1" x14ac:dyDescent="0.15">
      <c r="A771" s="16"/>
    </row>
    <row r="772" spans="1:1" x14ac:dyDescent="0.15">
      <c r="A772" s="16"/>
    </row>
    <row r="773" spans="1:1" x14ac:dyDescent="0.15">
      <c r="A773" s="16"/>
    </row>
    <row r="774" spans="1:1" x14ac:dyDescent="0.15">
      <c r="A774" s="16"/>
    </row>
    <row r="775" spans="1:1" x14ac:dyDescent="0.15">
      <c r="A775" s="16"/>
    </row>
    <row r="776" spans="1:1" x14ac:dyDescent="0.15">
      <c r="A776" s="16"/>
    </row>
    <row r="777" spans="1:1" x14ac:dyDescent="0.15">
      <c r="A777" s="16"/>
    </row>
    <row r="778" spans="1:1" x14ac:dyDescent="0.15">
      <c r="A778" s="16"/>
    </row>
    <row r="779" spans="1:1" x14ac:dyDescent="0.15">
      <c r="A779" s="16"/>
    </row>
    <row r="780" spans="1:1" x14ac:dyDescent="0.15">
      <c r="A780" s="16"/>
    </row>
    <row r="781" spans="1:1" x14ac:dyDescent="0.15">
      <c r="A781" s="16"/>
    </row>
    <row r="782" spans="1:1" x14ac:dyDescent="0.15">
      <c r="A782" s="16"/>
    </row>
    <row r="783" spans="1:1" x14ac:dyDescent="0.15">
      <c r="A783" s="16"/>
    </row>
    <row r="784" spans="1:1" x14ac:dyDescent="0.15">
      <c r="A784" s="16"/>
    </row>
    <row r="785" spans="1:1" x14ac:dyDescent="0.15">
      <c r="A785" s="16"/>
    </row>
    <row r="786" spans="1:1" x14ac:dyDescent="0.15">
      <c r="A786" s="16"/>
    </row>
    <row r="787" spans="1:1" x14ac:dyDescent="0.15">
      <c r="A787" s="16"/>
    </row>
    <row r="788" spans="1:1" x14ac:dyDescent="0.15">
      <c r="A788" s="16"/>
    </row>
    <row r="789" spans="1:1" x14ac:dyDescent="0.15">
      <c r="A789" s="16"/>
    </row>
    <row r="790" spans="1:1" x14ac:dyDescent="0.15">
      <c r="A790" s="16"/>
    </row>
    <row r="791" spans="1:1" x14ac:dyDescent="0.15">
      <c r="A791" s="16"/>
    </row>
    <row r="792" spans="1:1" x14ac:dyDescent="0.15">
      <c r="A792" s="16"/>
    </row>
    <row r="793" spans="1:1" x14ac:dyDescent="0.15">
      <c r="A793" s="16"/>
    </row>
    <row r="794" spans="1:1" x14ac:dyDescent="0.15">
      <c r="A794" s="16"/>
    </row>
    <row r="795" spans="1:1" x14ac:dyDescent="0.15">
      <c r="A795" s="16"/>
    </row>
    <row r="796" spans="1:1" x14ac:dyDescent="0.15">
      <c r="A796" s="16"/>
    </row>
    <row r="797" spans="1:1" x14ac:dyDescent="0.15">
      <c r="A797" s="16"/>
    </row>
    <row r="798" spans="1:1" x14ac:dyDescent="0.15">
      <c r="A798" s="16"/>
    </row>
    <row r="799" spans="1:1" x14ac:dyDescent="0.15">
      <c r="A799" s="16"/>
    </row>
    <row r="800" spans="1:1" x14ac:dyDescent="0.15">
      <c r="A800" s="16"/>
    </row>
    <row r="801" spans="1:1" x14ac:dyDescent="0.15">
      <c r="A801" s="16"/>
    </row>
    <row r="802" spans="1:1" x14ac:dyDescent="0.15">
      <c r="A802" s="16"/>
    </row>
    <row r="803" spans="1:1" x14ac:dyDescent="0.15">
      <c r="A803" s="16"/>
    </row>
    <row r="804" spans="1:1" x14ac:dyDescent="0.15">
      <c r="A804" s="16"/>
    </row>
    <row r="805" spans="1:1" x14ac:dyDescent="0.15">
      <c r="A805" s="16"/>
    </row>
    <row r="806" spans="1:1" x14ac:dyDescent="0.15">
      <c r="A806" s="16"/>
    </row>
    <row r="807" spans="1:1" x14ac:dyDescent="0.15">
      <c r="A807" s="16"/>
    </row>
    <row r="808" spans="1:1" x14ac:dyDescent="0.15">
      <c r="A808" s="16"/>
    </row>
    <row r="809" spans="1:1" x14ac:dyDescent="0.15">
      <c r="A809" s="16"/>
    </row>
    <row r="810" spans="1:1" x14ac:dyDescent="0.15">
      <c r="A810" s="16"/>
    </row>
    <row r="811" spans="1:1" x14ac:dyDescent="0.15">
      <c r="A811" s="16"/>
    </row>
    <row r="812" spans="1:1" x14ac:dyDescent="0.15">
      <c r="A812" s="16"/>
    </row>
    <row r="813" spans="1:1" x14ac:dyDescent="0.15">
      <c r="A813" s="16"/>
    </row>
    <row r="814" spans="1:1" x14ac:dyDescent="0.15">
      <c r="A814" s="16"/>
    </row>
    <row r="815" spans="1:1" x14ac:dyDescent="0.15">
      <c r="A815" s="16"/>
    </row>
    <row r="816" spans="1:1" x14ac:dyDescent="0.15">
      <c r="A816" s="16"/>
    </row>
    <row r="817" spans="1:1" x14ac:dyDescent="0.15">
      <c r="A817" s="16"/>
    </row>
    <row r="818" spans="1:1" x14ac:dyDescent="0.15">
      <c r="A818" s="16"/>
    </row>
    <row r="819" spans="1:1" x14ac:dyDescent="0.15">
      <c r="A819" s="16"/>
    </row>
    <row r="820" spans="1:1" x14ac:dyDescent="0.15">
      <c r="A820" s="16"/>
    </row>
    <row r="821" spans="1:1" x14ac:dyDescent="0.15">
      <c r="A821" s="16"/>
    </row>
    <row r="822" spans="1:1" x14ac:dyDescent="0.15">
      <c r="A822" s="16"/>
    </row>
    <row r="823" spans="1:1" x14ac:dyDescent="0.15">
      <c r="A823" s="16"/>
    </row>
    <row r="824" spans="1:1" x14ac:dyDescent="0.15">
      <c r="A824" s="16"/>
    </row>
    <row r="825" spans="1:1" x14ac:dyDescent="0.15">
      <c r="A825" s="16"/>
    </row>
    <row r="826" spans="1:1" x14ac:dyDescent="0.15">
      <c r="A826" s="16"/>
    </row>
    <row r="827" spans="1:1" x14ac:dyDescent="0.15">
      <c r="A827" s="16"/>
    </row>
    <row r="828" spans="1:1" x14ac:dyDescent="0.15">
      <c r="A828" s="16"/>
    </row>
    <row r="829" spans="1:1" x14ac:dyDescent="0.15">
      <c r="A829" s="16"/>
    </row>
    <row r="830" spans="1:1" x14ac:dyDescent="0.15">
      <c r="A830" s="16"/>
    </row>
    <row r="831" spans="1:1" x14ac:dyDescent="0.15">
      <c r="A831" s="16"/>
    </row>
    <row r="832" spans="1:1" x14ac:dyDescent="0.15">
      <c r="A832" s="16"/>
    </row>
    <row r="833" spans="1:1" x14ac:dyDescent="0.15">
      <c r="A833" s="16"/>
    </row>
    <row r="834" spans="1:1" x14ac:dyDescent="0.15">
      <c r="A834" s="16"/>
    </row>
    <row r="835" spans="1:1" x14ac:dyDescent="0.15">
      <c r="A835" s="16"/>
    </row>
    <row r="836" spans="1:1" x14ac:dyDescent="0.15">
      <c r="A836" s="16"/>
    </row>
    <row r="837" spans="1:1" x14ac:dyDescent="0.15">
      <c r="A837" s="16"/>
    </row>
    <row r="838" spans="1:1" x14ac:dyDescent="0.15">
      <c r="A838" s="16"/>
    </row>
    <row r="839" spans="1:1" x14ac:dyDescent="0.15">
      <c r="A839" s="16"/>
    </row>
    <row r="840" spans="1:1" x14ac:dyDescent="0.15">
      <c r="A840" s="16"/>
    </row>
    <row r="841" spans="1:1" x14ac:dyDescent="0.15">
      <c r="A841" s="16"/>
    </row>
    <row r="842" spans="1:1" x14ac:dyDescent="0.15">
      <c r="A842" s="16"/>
    </row>
    <row r="843" spans="1:1" x14ac:dyDescent="0.15">
      <c r="A843" s="16"/>
    </row>
    <row r="844" spans="1:1" x14ac:dyDescent="0.15">
      <c r="A844" s="16"/>
    </row>
    <row r="845" spans="1:1" x14ac:dyDescent="0.15">
      <c r="A845" s="16"/>
    </row>
    <row r="846" spans="1:1" x14ac:dyDescent="0.15">
      <c r="A846" s="16"/>
    </row>
    <row r="847" spans="1:1" x14ac:dyDescent="0.15">
      <c r="A847" s="16"/>
    </row>
    <row r="848" spans="1:1" x14ac:dyDescent="0.15">
      <c r="A848" s="16"/>
    </row>
    <row r="849" spans="1:1" x14ac:dyDescent="0.15">
      <c r="A849" s="16"/>
    </row>
    <row r="850" spans="1:1" x14ac:dyDescent="0.15">
      <c r="A850" s="16"/>
    </row>
    <row r="851" spans="1:1" x14ac:dyDescent="0.15">
      <c r="A851" s="16"/>
    </row>
    <row r="852" spans="1:1" x14ac:dyDescent="0.15">
      <c r="A852" s="16"/>
    </row>
    <row r="853" spans="1:1" x14ac:dyDescent="0.15">
      <c r="A853" s="16"/>
    </row>
    <row r="854" spans="1:1" x14ac:dyDescent="0.15">
      <c r="A854" s="16"/>
    </row>
    <row r="855" spans="1:1" x14ac:dyDescent="0.15">
      <c r="A855" s="16"/>
    </row>
    <row r="856" spans="1:1" x14ac:dyDescent="0.15">
      <c r="A856" s="16"/>
    </row>
    <row r="857" spans="1:1" x14ac:dyDescent="0.15">
      <c r="A857" s="16"/>
    </row>
    <row r="858" spans="1:1" x14ac:dyDescent="0.15">
      <c r="A858" s="16"/>
    </row>
    <row r="859" spans="1:1" x14ac:dyDescent="0.15">
      <c r="A859" s="16"/>
    </row>
    <row r="860" spans="1:1" x14ac:dyDescent="0.15">
      <c r="A860" s="16"/>
    </row>
    <row r="861" spans="1:1" x14ac:dyDescent="0.15">
      <c r="A861" s="16"/>
    </row>
    <row r="862" spans="1:1" x14ac:dyDescent="0.15">
      <c r="A862" s="16"/>
    </row>
    <row r="863" spans="1:1" x14ac:dyDescent="0.15">
      <c r="A863" s="16"/>
    </row>
    <row r="864" spans="1:1" x14ac:dyDescent="0.15">
      <c r="A864" s="16"/>
    </row>
    <row r="865" spans="1:1" x14ac:dyDescent="0.15">
      <c r="A865" s="16"/>
    </row>
    <row r="866" spans="1:1" x14ac:dyDescent="0.15">
      <c r="A866" s="16"/>
    </row>
    <row r="867" spans="1:1" x14ac:dyDescent="0.15">
      <c r="A867" s="16"/>
    </row>
    <row r="868" spans="1:1" x14ac:dyDescent="0.15">
      <c r="A868" s="16"/>
    </row>
    <row r="869" spans="1:1" x14ac:dyDescent="0.15">
      <c r="A869" s="16"/>
    </row>
    <row r="870" spans="1:1" x14ac:dyDescent="0.15">
      <c r="A870" s="16"/>
    </row>
    <row r="871" spans="1:1" x14ac:dyDescent="0.15">
      <c r="A871" s="16"/>
    </row>
    <row r="872" spans="1:1" x14ac:dyDescent="0.15">
      <c r="A872" s="16"/>
    </row>
    <row r="873" spans="1:1" x14ac:dyDescent="0.15">
      <c r="A873" s="16"/>
    </row>
    <row r="874" spans="1:1" x14ac:dyDescent="0.15">
      <c r="A874" s="16"/>
    </row>
    <row r="875" spans="1:1" x14ac:dyDescent="0.15">
      <c r="A875" s="16"/>
    </row>
    <row r="876" spans="1:1" x14ac:dyDescent="0.15">
      <c r="A876" s="16"/>
    </row>
    <row r="877" spans="1:1" x14ac:dyDescent="0.15">
      <c r="A877" s="16"/>
    </row>
    <row r="878" spans="1:1" x14ac:dyDescent="0.15">
      <c r="A878" s="16"/>
    </row>
    <row r="879" spans="1:1" x14ac:dyDescent="0.15">
      <c r="A879" s="16"/>
    </row>
    <row r="880" spans="1:1" x14ac:dyDescent="0.15">
      <c r="A880" s="16"/>
    </row>
    <row r="881" spans="1:1" x14ac:dyDescent="0.15">
      <c r="A881" s="16"/>
    </row>
    <row r="882" spans="1:1" x14ac:dyDescent="0.15">
      <c r="A882" s="16"/>
    </row>
    <row r="883" spans="1:1" x14ac:dyDescent="0.15">
      <c r="A883" s="16"/>
    </row>
    <row r="884" spans="1:1" x14ac:dyDescent="0.15">
      <c r="A884" s="16"/>
    </row>
    <row r="885" spans="1:1" x14ac:dyDescent="0.15">
      <c r="A885" s="16"/>
    </row>
    <row r="886" spans="1:1" x14ac:dyDescent="0.15">
      <c r="A886" s="16"/>
    </row>
    <row r="887" spans="1:1" x14ac:dyDescent="0.15">
      <c r="A887" s="16"/>
    </row>
    <row r="888" spans="1:1" x14ac:dyDescent="0.15">
      <c r="A888" s="16"/>
    </row>
    <row r="889" spans="1:1" x14ac:dyDescent="0.15">
      <c r="A889" s="16"/>
    </row>
    <row r="890" spans="1:1" x14ac:dyDescent="0.15">
      <c r="A890" s="16"/>
    </row>
    <row r="891" spans="1:1" x14ac:dyDescent="0.15">
      <c r="A891" s="16"/>
    </row>
    <row r="892" spans="1:1" x14ac:dyDescent="0.15">
      <c r="A892" s="16"/>
    </row>
    <row r="893" spans="1:1" x14ac:dyDescent="0.15">
      <c r="A893" s="16"/>
    </row>
    <row r="894" spans="1:1" x14ac:dyDescent="0.15">
      <c r="A894" s="16"/>
    </row>
    <row r="895" spans="1:1" x14ac:dyDescent="0.15">
      <c r="A895" s="16"/>
    </row>
    <row r="896" spans="1:1" x14ac:dyDescent="0.15">
      <c r="A896" s="16"/>
    </row>
    <row r="897" spans="1:1" x14ac:dyDescent="0.15">
      <c r="A897" s="16"/>
    </row>
    <row r="898" spans="1:1" x14ac:dyDescent="0.15">
      <c r="A898" s="16"/>
    </row>
    <row r="899" spans="1:1" x14ac:dyDescent="0.15">
      <c r="A899" s="16"/>
    </row>
    <row r="900" spans="1:1" x14ac:dyDescent="0.15">
      <c r="A900" s="16"/>
    </row>
    <row r="901" spans="1:1" x14ac:dyDescent="0.15">
      <c r="A901" s="16"/>
    </row>
    <row r="902" spans="1:1" x14ac:dyDescent="0.15">
      <c r="A902" s="16"/>
    </row>
    <row r="903" spans="1:1" x14ac:dyDescent="0.15">
      <c r="A903" s="16"/>
    </row>
    <row r="904" spans="1:1" x14ac:dyDescent="0.15">
      <c r="A904" s="16"/>
    </row>
    <row r="905" spans="1:1" x14ac:dyDescent="0.15">
      <c r="A905" s="16"/>
    </row>
    <row r="906" spans="1:1" x14ac:dyDescent="0.15">
      <c r="A906" s="16"/>
    </row>
    <row r="907" spans="1:1" x14ac:dyDescent="0.15">
      <c r="A907" s="16"/>
    </row>
    <row r="908" spans="1:1" x14ac:dyDescent="0.15">
      <c r="A908" s="16"/>
    </row>
    <row r="909" spans="1:1" x14ac:dyDescent="0.15">
      <c r="A909" s="16"/>
    </row>
    <row r="910" spans="1:1" x14ac:dyDescent="0.15">
      <c r="A910" s="16"/>
    </row>
    <row r="911" spans="1:1" x14ac:dyDescent="0.15">
      <c r="A911" s="16"/>
    </row>
    <row r="912" spans="1:1" x14ac:dyDescent="0.15">
      <c r="A912" s="16"/>
    </row>
    <row r="913" spans="1:1" x14ac:dyDescent="0.15">
      <c r="A913" s="16"/>
    </row>
    <row r="914" spans="1:1" x14ac:dyDescent="0.15">
      <c r="A914" s="16"/>
    </row>
    <row r="915" spans="1:1" x14ac:dyDescent="0.15">
      <c r="A915" s="16"/>
    </row>
    <row r="916" spans="1:1" x14ac:dyDescent="0.15">
      <c r="A916" s="16"/>
    </row>
    <row r="917" spans="1:1" x14ac:dyDescent="0.15">
      <c r="A917" s="16"/>
    </row>
    <row r="918" spans="1:1" x14ac:dyDescent="0.15">
      <c r="A918" s="16"/>
    </row>
    <row r="919" spans="1:1" x14ac:dyDescent="0.15">
      <c r="A919" s="16"/>
    </row>
    <row r="920" spans="1:1" x14ac:dyDescent="0.15">
      <c r="A920" s="16"/>
    </row>
    <row r="921" spans="1:1" x14ac:dyDescent="0.15">
      <c r="A921" s="16"/>
    </row>
    <row r="922" spans="1:1" x14ac:dyDescent="0.15">
      <c r="A922" s="16"/>
    </row>
    <row r="923" spans="1:1" x14ac:dyDescent="0.15">
      <c r="A923" s="16"/>
    </row>
    <row r="924" spans="1:1" x14ac:dyDescent="0.15">
      <c r="A924" s="16"/>
    </row>
    <row r="925" spans="1:1" x14ac:dyDescent="0.15">
      <c r="A925" s="16"/>
    </row>
    <row r="926" spans="1:1" x14ac:dyDescent="0.15">
      <c r="A926" s="16"/>
    </row>
    <row r="927" spans="1:1" x14ac:dyDescent="0.15">
      <c r="A927" s="16"/>
    </row>
    <row r="928" spans="1:1" x14ac:dyDescent="0.15">
      <c r="A928" s="16"/>
    </row>
    <row r="929" spans="1:1" x14ac:dyDescent="0.15">
      <c r="A929" s="16"/>
    </row>
    <row r="930" spans="1:1" x14ac:dyDescent="0.15">
      <c r="A930" s="16"/>
    </row>
    <row r="931" spans="1:1" x14ac:dyDescent="0.15">
      <c r="A931" s="16"/>
    </row>
    <row r="932" spans="1:1" x14ac:dyDescent="0.15">
      <c r="A932" s="16"/>
    </row>
    <row r="933" spans="1:1" x14ac:dyDescent="0.15">
      <c r="A933" s="16"/>
    </row>
    <row r="934" spans="1:1" x14ac:dyDescent="0.15">
      <c r="A934" s="16"/>
    </row>
    <row r="935" spans="1:1" x14ac:dyDescent="0.15">
      <c r="A935" s="16"/>
    </row>
    <row r="936" spans="1:1" x14ac:dyDescent="0.15">
      <c r="A936" s="16"/>
    </row>
    <row r="937" spans="1:1" x14ac:dyDescent="0.15">
      <c r="A937" s="16"/>
    </row>
    <row r="938" spans="1:1" x14ac:dyDescent="0.15">
      <c r="A938" s="16"/>
    </row>
    <row r="939" spans="1:1" x14ac:dyDescent="0.15">
      <c r="A939" s="16"/>
    </row>
    <row r="940" spans="1:1" x14ac:dyDescent="0.15">
      <c r="A940" s="16"/>
    </row>
    <row r="941" spans="1:1" x14ac:dyDescent="0.15">
      <c r="A941" s="16"/>
    </row>
    <row r="942" spans="1:1" x14ac:dyDescent="0.15">
      <c r="A942" s="16"/>
    </row>
    <row r="943" spans="1:1" x14ac:dyDescent="0.15">
      <c r="A943" s="16"/>
    </row>
    <row r="944" spans="1:1" x14ac:dyDescent="0.15">
      <c r="A944" s="16"/>
    </row>
    <row r="945" spans="1:1" x14ac:dyDescent="0.15">
      <c r="A945" s="16"/>
    </row>
    <row r="946" spans="1:1" x14ac:dyDescent="0.15">
      <c r="A946" s="16"/>
    </row>
    <row r="947" spans="1:1" x14ac:dyDescent="0.15">
      <c r="A947" s="16"/>
    </row>
    <row r="948" spans="1:1" x14ac:dyDescent="0.15">
      <c r="A948" s="16"/>
    </row>
    <row r="949" spans="1:1" x14ac:dyDescent="0.15">
      <c r="A949" s="16"/>
    </row>
    <row r="950" spans="1:1" x14ac:dyDescent="0.15">
      <c r="A950" s="16"/>
    </row>
    <row r="951" spans="1:1" x14ac:dyDescent="0.15">
      <c r="A951" s="16"/>
    </row>
    <row r="952" spans="1:1" x14ac:dyDescent="0.15">
      <c r="A952" s="16"/>
    </row>
    <row r="953" spans="1:1" x14ac:dyDescent="0.15">
      <c r="A953" s="16"/>
    </row>
    <row r="954" spans="1:1" x14ac:dyDescent="0.15">
      <c r="A954" s="16"/>
    </row>
    <row r="955" spans="1:1" x14ac:dyDescent="0.15">
      <c r="A955" s="16"/>
    </row>
    <row r="956" spans="1:1" x14ac:dyDescent="0.15">
      <c r="A956" s="16"/>
    </row>
    <row r="957" spans="1:1" x14ac:dyDescent="0.15">
      <c r="A957" s="16"/>
    </row>
    <row r="958" spans="1:1" x14ac:dyDescent="0.15">
      <c r="A958" s="16"/>
    </row>
    <row r="959" spans="1:1" x14ac:dyDescent="0.15">
      <c r="A959" s="16"/>
    </row>
    <row r="960" spans="1:1" x14ac:dyDescent="0.15">
      <c r="A960" s="16"/>
    </row>
    <row r="961" spans="1:1" x14ac:dyDescent="0.15">
      <c r="A961" s="16"/>
    </row>
    <row r="962" spans="1:1" x14ac:dyDescent="0.15">
      <c r="A962" s="16"/>
    </row>
    <row r="963" spans="1:1" x14ac:dyDescent="0.15">
      <c r="A963" s="16"/>
    </row>
    <row r="964" spans="1:1" x14ac:dyDescent="0.15">
      <c r="A964" s="16"/>
    </row>
    <row r="965" spans="1:1" x14ac:dyDescent="0.15">
      <c r="A965" s="16"/>
    </row>
    <row r="966" spans="1:1" x14ac:dyDescent="0.15">
      <c r="A966" s="16"/>
    </row>
    <row r="967" spans="1:1" x14ac:dyDescent="0.15">
      <c r="A967" s="16"/>
    </row>
    <row r="968" spans="1:1" x14ac:dyDescent="0.15">
      <c r="A968" s="16"/>
    </row>
    <row r="969" spans="1:1" x14ac:dyDescent="0.15">
      <c r="A969" s="16"/>
    </row>
    <row r="970" spans="1:1" x14ac:dyDescent="0.15">
      <c r="A970" s="16"/>
    </row>
    <row r="971" spans="1:1" x14ac:dyDescent="0.15">
      <c r="A971" s="16"/>
    </row>
    <row r="972" spans="1:1" x14ac:dyDescent="0.15">
      <c r="A972" s="16"/>
    </row>
    <row r="973" spans="1:1" x14ac:dyDescent="0.15">
      <c r="A973" s="16"/>
    </row>
    <row r="974" spans="1:1" x14ac:dyDescent="0.15">
      <c r="A974" s="16"/>
    </row>
    <row r="975" spans="1:1" x14ac:dyDescent="0.15">
      <c r="A975" s="16"/>
    </row>
    <row r="976" spans="1:1" x14ac:dyDescent="0.15">
      <c r="A976" s="16"/>
    </row>
    <row r="977" spans="1:1" x14ac:dyDescent="0.15">
      <c r="A977" s="16"/>
    </row>
    <row r="978" spans="1:1" x14ac:dyDescent="0.15">
      <c r="A978" s="16"/>
    </row>
    <row r="979" spans="1:1" x14ac:dyDescent="0.15">
      <c r="A979" s="16"/>
    </row>
    <row r="980" spans="1:1" x14ac:dyDescent="0.15">
      <c r="A980" s="16"/>
    </row>
    <row r="981" spans="1:1" x14ac:dyDescent="0.15">
      <c r="A981" s="16"/>
    </row>
    <row r="982" spans="1:1" x14ac:dyDescent="0.15">
      <c r="A982" s="16"/>
    </row>
    <row r="983" spans="1:1" x14ac:dyDescent="0.15">
      <c r="A983" s="16"/>
    </row>
    <row r="984" spans="1:1" x14ac:dyDescent="0.15">
      <c r="A984" s="16"/>
    </row>
    <row r="985" spans="1:1" x14ac:dyDescent="0.15">
      <c r="A985" s="16"/>
    </row>
    <row r="986" spans="1:1" x14ac:dyDescent="0.15">
      <c r="A986" s="16"/>
    </row>
    <row r="987" spans="1:1" x14ac:dyDescent="0.15">
      <c r="A987" s="16"/>
    </row>
    <row r="988" spans="1:1" x14ac:dyDescent="0.15">
      <c r="A988" s="16"/>
    </row>
    <row r="989" spans="1:1" x14ac:dyDescent="0.15">
      <c r="A989" s="16"/>
    </row>
    <row r="990" spans="1:1" x14ac:dyDescent="0.15">
      <c r="A990" s="16"/>
    </row>
    <row r="991" spans="1:1" x14ac:dyDescent="0.15">
      <c r="A991" s="16"/>
    </row>
    <row r="992" spans="1:1" x14ac:dyDescent="0.15">
      <c r="A992" s="16"/>
    </row>
    <row r="993" spans="1:1" x14ac:dyDescent="0.15">
      <c r="A993" s="16"/>
    </row>
    <row r="994" spans="1:1" x14ac:dyDescent="0.15">
      <c r="A994" s="16"/>
    </row>
    <row r="995" spans="1:1" x14ac:dyDescent="0.15">
      <c r="A995" s="16"/>
    </row>
    <row r="996" spans="1:1" x14ac:dyDescent="0.15">
      <c r="A99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CB439-D973-754F-A994-75301B2B9D88}">
  <dimension ref="A1:E62"/>
  <sheetViews>
    <sheetView workbookViewId="0">
      <pane xSplit="4" ySplit="2" topLeftCell="E3" activePane="bottomRight" state="frozen"/>
      <selection pane="topRight" activeCell="D1" sqref="D1"/>
      <selection pane="bottomLeft" activeCell="A3" sqref="A3"/>
      <selection pane="bottomRight" sqref="A1:C1"/>
    </sheetView>
  </sheetViews>
  <sheetFormatPr baseColWidth="10" defaultRowHeight="14" x14ac:dyDescent="0.2"/>
  <cols>
    <col min="1" max="1" width="10.6640625" style="32" bestFit="1" customWidth="1"/>
    <col min="2" max="2" width="45" style="32" bestFit="1" customWidth="1"/>
    <col min="3" max="3" width="18" style="32" bestFit="1" customWidth="1"/>
    <col min="4" max="4" width="8" style="32" bestFit="1" customWidth="1"/>
    <col min="5" max="5" width="255.83203125" style="32" bestFit="1" customWidth="1"/>
    <col min="6" max="16384" width="10.83203125" style="32"/>
  </cols>
  <sheetData>
    <row r="1" spans="1:5" x14ac:dyDescent="0.2">
      <c r="A1" s="37" t="s">
        <v>220</v>
      </c>
      <c r="B1" s="37"/>
      <c r="C1" s="37"/>
      <c r="D1" s="35"/>
      <c r="E1" s="35"/>
    </row>
    <row r="2" spans="1:5" s="34" customFormat="1" ht="15" thickBot="1" x14ac:dyDescent="0.25">
      <c r="A2" s="33" t="s">
        <v>219</v>
      </c>
      <c r="B2" s="33" t="s">
        <v>218</v>
      </c>
      <c r="C2" s="33" t="s">
        <v>221</v>
      </c>
      <c r="D2" s="33" t="s">
        <v>194</v>
      </c>
      <c r="E2" s="33" t="s">
        <v>217</v>
      </c>
    </row>
    <row r="3" spans="1:5" x14ac:dyDescent="0.2">
      <c r="A3" s="32">
        <v>1</v>
      </c>
      <c r="B3" s="32" t="s">
        <v>216</v>
      </c>
      <c r="C3" s="32" t="s">
        <v>214</v>
      </c>
      <c r="D3" s="32">
        <f>IF(OR(C3="OUTPATIENT VISIT",C3="OFFICE VISIT"),1,0)</f>
        <v>0</v>
      </c>
      <c r="E3" s="32" t="s">
        <v>215</v>
      </c>
    </row>
    <row r="4" spans="1:5" x14ac:dyDescent="0.2">
      <c r="A4" s="32">
        <v>2</v>
      </c>
      <c r="B4" s="32" t="s">
        <v>213</v>
      </c>
      <c r="C4" s="32" t="s">
        <v>195</v>
      </c>
      <c r="D4" s="32">
        <f t="shared" ref="D4:D12" si="0">IF(OR(C4="OUTPATIENT VISIT",C4="OFFICE VISIT"),1,0)</f>
        <v>0</v>
      </c>
      <c r="E4" s="32" t="s">
        <v>212</v>
      </c>
    </row>
    <row r="5" spans="1:5" x14ac:dyDescent="0.2">
      <c r="A5" s="32">
        <v>3</v>
      </c>
      <c r="B5" s="32" t="s">
        <v>211</v>
      </c>
      <c r="C5" s="32" t="s">
        <v>90</v>
      </c>
      <c r="D5" s="32">
        <f t="shared" si="0"/>
        <v>0</v>
      </c>
      <c r="E5" s="32" t="s">
        <v>210</v>
      </c>
    </row>
    <row r="6" spans="1:5" x14ac:dyDescent="0.2">
      <c r="A6" s="32">
        <v>4</v>
      </c>
      <c r="B6" s="32" t="s">
        <v>209</v>
      </c>
      <c r="C6" s="32" t="s">
        <v>90</v>
      </c>
      <c r="D6" s="32">
        <f t="shared" si="0"/>
        <v>0</v>
      </c>
      <c r="E6" s="32" t="s">
        <v>208</v>
      </c>
    </row>
    <row r="7" spans="1:5" x14ac:dyDescent="0.2">
      <c r="A7" s="32">
        <v>5</v>
      </c>
      <c r="B7" s="32" t="s">
        <v>207</v>
      </c>
      <c r="C7" s="32" t="s">
        <v>90</v>
      </c>
      <c r="D7" s="32">
        <f t="shared" si="0"/>
        <v>0</v>
      </c>
      <c r="E7" s="32" t="s">
        <v>206</v>
      </c>
    </row>
    <row r="8" spans="1:5" x14ac:dyDescent="0.2">
      <c r="A8" s="32">
        <v>6</v>
      </c>
      <c r="B8" s="32" t="s">
        <v>205</v>
      </c>
      <c r="C8" s="32" t="s">
        <v>90</v>
      </c>
      <c r="D8" s="32">
        <f t="shared" si="0"/>
        <v>0</v>
      </c>
      <c r="E8" s="32" t="s">
        <v>204</v>
      </c>
    </row>
    <row r="9" spans="1:5" x14ac:dyDescent="0.2">
      <c r="A9" s="32">
        <v>7</v>
      </c>
      <c r="B9" s="32" t="s">
        <v>203</v>
      </c>
      <c r="C9" s="32" t="s">
        <v>90</v>
      </c>
      <c r="D9" s="32">
        <f t="shared" si="0"/>
        <v>0</v>
      </c>
      <c r="E9" s="32" t="s">
        <v>202</v>
      </c>
    </row>
    <row r="10" spans="1:5" x14ac:dyDescent="0.2">
      <c r="A10" s="32">
        <v>8</v>
      </c>
      <c r="B10" s="32" t="s">
        <v>201</v>
      </c>
      <c r="C10" s="32" t="s">
        <v>90</v>
      </c>
      <c r="D10" s="32">
        <f t="shared" si="0"/>
        <v>0</v>
      </c>
      <c r="E10" s="32" t="s">
        <v>200</v>
      </c>
    </row>
    <row r="11" spans="1:5" x14ac:dyDescent="0.2">
      <c r="A11" s="32">
        <v>9</v>
      </c>
      <c r="B11" s="32" t="s">
        <v>199</v>
      </c>
      <c r="C11" s="32" t="s">
        <v>90</v>
      </c>
      <c r="D11" s="32">
        <f>IF(OR(C11="OUTPATIENT VISIT",C11="OFFICE VISIT"),1,0)</f>
        <v>0</v>
      </c>
      <c r="E11" s="32" t="s">
        <v>198</v>
      </c>
    </row>
    <row r="12" spans="1:5" x14ac:dyDescent="0.2">
      <c r="A12" s="32">
        <v>10</v>
      </c>
      <c r="B12" s="32" t="s">
        <v>197</v>
      </c>
      <c r="C12" s="32" t="s">
        <v>195</v>
      </c>
      <c r="D12" s="32">
        <f t="shared" si="0"/>
        <v>0</v>
      </c>
      <c r="E12" s="32" t="s">
        <v>196</v>
      </c>
    </row>
    <row r="13" spans="1:5" x14ac:dyDescent="0.2">
      <c r="A13" s="32">
        <v>11</v>
      </c>
      <c r="B13" s="32" t="s">
        <v>194</v>
      </c>
      <c r="C13" s="32" t="s">
        <v>100</v>
      </c>
      <c r="D13" s="32">
        <f>IF(OR(C13="OUTPATIENT VISIT",C13="OFFICE VISIT"),1,0)</f>
        <v>1</v>
      </c>
      <c r="E13" s="32" t="s">
        <v>193</v>
      </c>
    </row>
    <row r="14" spans="1:5" x14ac:dyDescent="0.2">
      <c r="A14" s="32">
        <v>12</v>
      </c>
      <c r="B14" s="32" t="s">
        <v>192</v>
      </c>
      <c r="C14" s="32" t="s">
        <v>190</v>
      </c>
      <c r="D14" s="32">
        <f t="shared" ref="D14:D62" si="1">IF(OR(C14="OUTPATIENT VISIT",C14="OFFICE VISIT"),1,0)</f>
        <v>0</v>
      </c>
      <c r="E14" s="32" t="s">
        <v>191</v>
      </c>
    </row>
    <row r="15" spans="1:5" x14ac:dyDescent="0.2">
      <c r="A15" s="32">
        <v>13</v>
      </c>
      <c r="B15" s="32" t="s">
        <v>189</v>
      </c>
      <c r="C15" s="32" t="s">
        <v>149</v>
      </c>
      <c r="D15" s="32">
        <f t="shared" si="1"/>
        <v>0</v>
      </c>
      <c r="E15" s="32" t="s">
        <v>188</v>
      </c>
    </row>
    <row r="16" spans="1:5" x14ac:dyDescent="0.2">
      <c r="A16" s="32">
        <v>14</v>
      </c>
      <c r="B16" s="32" t="s">
        <v>187</v>
      </c>
      <c r="C16" s="32" t="s">
        <v>149</v>
      </c>
      <c r="D16" s="32">
        <f t="shared" si="1"/>
        <v>0</v>
      </c>
      <c r="E16" s="32" t="s">
        <v>186</v>
      </c>
    </row>
    <row r="17" spans="1:5" x14ac:dyDescent="0.2">
      <c r="A17" s="32">
        <v>15</v>
      </c>
      <c r="B17" s="32" t="s">
        <v>185</v>
      </c>
      <c r="C17" s="32" t="s">
        <v>108</v>
      </c>
      <c r="D17" s="32">
        <f t="shared" si="1"/>
        <v>1</v>
      </c>
      <c r="E17" s="32" t="s">
        <v>184</v>
      </c>
    </row>
    <row r="18" spans="1:5" x14ac:dyDescent="0.2">
      <c r="A18" s="32">
        <v>16</v>
      </c>
      <c r="B18" s="32" t="s">
        <v>183</v>
      </c>
      <c r="C18" s="32" t="s">
        <v>90</v>
      </c>
      <c r="D18" s="32">
        <f t="shared" si="1"/>
        <v>0</v>
      </c>
      <c r="E18" s="32" t="s">
        <v>182</v>
      </c>
    </row>
    <row r="19" spans="1:5" x14ac:dyDescent="0.2">
      <c r="A19" s="32">
        <v>17</v>
      </c>
      <c r="B19" s="32" t="s">
        <v>181</v>
      </c>
      <c r="C19" s="32" t="s">
        <v>108</v>
      </c>
      <c r="D19" s="32">
        <f t="shared" si="1"/>
        <v>1</v>
      </c>
      <c r="E19" s="32" t="s">
        <v>180</v>
      </c>
    </row>
    <row r="20" spans="1:5" x14ac:dyDescent="0.2">
      <c r="A20" s="32">
        <v>18</v>
      </c>
      <c r="B20" s="32" t="s">
        <v>179</v>
      </c>
      <c r="C20" s="32" t="s">
        <v>90</v>
      </c>
      <c r="D20" s="32">
        <f t="shared" si="1"/>
        <v>0</v>
      </c>
      <c r="E20" s="32" t="s">
        <v>178</v>
      </c>
    </row>
    <row r="21" spans="1:5" x14ac:dyDescent="0.2">
      <c r="A21" s="32">
        <v>19</v>
      </c>
      <c r="B21" s="32" t="s">
        <v>177</v>
      </c>
      <c r="C21" s="32" t="s">
        <v>108</v>
      </c>
      <c r="D21" s="32">
        <f t="shared" si="1"/>
        <v>1</v>
      </c>
      <c r="E21" s="32" t="s">
        <v>176</v>
      </c>
    </row>
    <row r="22" spans="1:5" x14ac:dyDescent="0.2">
      <c r="A22" s="32">
        <v>20</v>
      </c>
      <c r="B22" s="32" t="s">
        <v>175</v>
      </c>
      <c r="C22" s="32" t="s">
        <v>173</v>
      </c>
      <c r="D22" s="32">
        <f t="shared" si="1"/>
        <v>0</v>
      </c>
      <c r="E22" s="32" t="s">
        <v>174</v>
      </c>
    </row>
    <row r="23" spans="1:5" x14ac:dyDescent="0.2">
      <c r="A23" s="32">
        <v>21</v>
      </c>
      <c r="B23" s="32" t="s">
        <v>172</v>
      </c>
      <c r="C23" s="32" t="s">
        <v>132</v>
      </c>
      <c r="D23" s="32">
        <f t="shared" si="1"/>
        <v>0</v>
      </c>
      <c r="E23" s="32" t="s">
        <v>171</v>
      </c>
    </row>
    <row r="24" spans="1:5" x14ac:dyDescent="0.2">
      <c r="A24" s="32">
        <v>22</v>
      </c>
      <c r="B24" s="32" t="s">
        <v>170</v>
      </c>
      <c r="C24" s="32" t="s">
        <v>108</v>
      </c>
      <c r="D24" s="32">
        <f t="shared" si="1"/>
        <v>1</v>
      </c>
      <c r="E24" s="32" t="s">
        <v>169</v>
      </c>
    </row>
    <row r="25" spans="1:5" x14ac:dyDescent="0.2">
      <c r="A25" s="32">
        <v>23</v>
      </c>
      <c r="B25" s="32" t="s">
        <v>168</v>
      </c>
      <c r="C25" s="32" t="s">
        <v>166</v>
      </c>
      <c r="D25" s="32">
        <f t="shared" si="1"/>
        <v>0</v>
      </c>
      <c r="E25" s="32" t="s">
        <v>167</v>
      </c>
    </row>
    <row r="26" spans="1:5" x14ac:dyDescent="0.2">
      <c r="A26" s="32">
        <v>24</v>
      </c>
      <c r="B26" s="32" t="s">
        <v>165</v>
      </c>
      <c r="C26" s="32" t="s">
        <v>108</v>
      </c>
      <c r="D26" s="32">
        <f t="shared" si="1"/>
        <v>1</v>
      </c>
      <c r="E26" s="32" t="s">
        <v>164</v>
      </c>
    </row>
    <row r="27" spans="1:5" x14ac:dyDescent="0.2">
      <c r="A27" s="32">
        <v>25</v>
      </c>
      <c r="B27" s="32" t="s">
        <v>163</v>
      </c>
      <c r="C27" s="32" t="s">
        <v>161</v>
      </c>
      <c r="D27" s="32">
        <f t="shared" si="1"/>
        <v>0</v>
      </c>
      <c r="E27" s="32" t="s">
        <v>162</v>
      </c>
    </row>
    <row r="28" spans="1:5" x14ac:dyDescent="0.2">
      <c r="A28" s="32">
        <v>26</v>
      </c>
      <c r="B28" s="32" t="s">
        <v>160</v>
      </c>
      <c r="C28" s="32" t="s">
        <v>90</v>
      </c>
      <c r="D28" s="32">
        <f t="shared" si="1"/>
        <v>0</v>
      </c>
      <c r="E28" s="32" t="s">
        <v>159</v>
      </c>
    </row>
    <row r="29" spans="1:5" x14ac:dyDescent="0.2">
      <c r="A29" s="32">
        <v>27</v>
      </c>
      <c r="B29" s="32" t="s">
        <v>158</v>
      </c>
      <c r="C29" s="32" t="s">
        <v>90</v>
      </c>
      <c r="D29" s="32">
        <f t="shared" si="1"/>
        <v>0</v>
      </c>
      <c r="E29" s="32" t="s">
        <v>157</v>
      </c>
    </row>
    <row r="30" spans="1:5" x14ac:dyDescent="0.2">
      <c r="A30" s="32" t="s">
        <v>156</v>
      </c>
      <c r="B30" s="32" t="s">
        <v>94</v>
      </c>
      <c r="C30" s="32" t="s">
        <v>90</v>
      </c>
      <c r="D30" s="32">
        <f t="shared" si="1"/>
        <v>0</v>
      </c>
      <c r="E30" s="32" t="s">
        <v>93</v>
      </c>
    </row>
    <row r="31" spans="1:5" x14ac:dyDescent="0.2">
      <c r="A31" s="32">
        <v>31</v>
      </c>
      <c r="B31" s="32" t="s">
        <v>155</v>
      </c>
      <c r="C31" s="32" t="s">
        <v>149</v>
      </c>
      <c r="D31" s="32">
        <f t="shared" si="1"/>
        <v>0</v>
      </c>
      <c r="E31" s="32" t="s">
        <v>154</v>
      </c>
    </row>
    <row r="32" spans="1:5" x14ac:dyDescent="0.2">
      <c r="A32" s="32">
        <v>32</v>
      </c>
      <c r="B32" s="32" t="s">
        <v>153</v>
      </c>
      <c r="C32" s="32" t="s">
        <v>149</v>
      </c>
      <c r="D32" s="32">
        <f t="shared" si="1"/>
        <v>0</v>
      </c>
      <c r="E32" s="32" t="s">
        <v>152</v>
      </c>
    </row>
    <row r="33" spans="1:5" x14ac:dyDescent="0.2">
      <c r="A33" s="32">
        <v>33</v>
      </c>
      <c r="B33" s="32" t="s">
        <v>151</v>
      </c>
      <c r="C33" s="32" t="s">
        <v>149</v>
      </c>
      <c r="D33" s="32">
        <f t="shared" si="1"/>
        <v>0</v>
      </c>
      <c r="E33" s="32" t="s">
        <v>150</v>
      </c>
    </row>
    <row r="34" spans="1:5" x14ac:dyDescent="0.2">
      <c r="A34" s="32">
        <v>34</v>
      </c>
      <c r="B34" s="32" t="s">
        <v>148</v>
      </c>
      <c r="C34" s="32" t="s">
        <v>146</v>
      </c>
      <c r="D34" s="32">
        <f t="shared" si="1"/>
        <v>0</v>
      </c>
      <c r="E34" s="32" t="s">
        <v>147</v>
      </c>
    </row>
    <row r="35" spans="1:5" x14ac:dyDescent="0.2">
      <c r="A35" s="32" t="s">
        <v>145</v>
      </c>
      <c r="B35" s="32" t="s">
        <v>94</v>
      </c>
      <c r="C35" s="32" t="s">
        <v>90</v>
      </c>
      <c r="D35" s="32">
        <f t="shared" si="1"/>
        <v>0</v>
      </c>
      <c r="E35" s="32" t="s">
        <v>93</v>
      </c>
    </row>
    <row r="36" spans="1:5" x14ac:dyDescent="0.2">
      <c r="A36" s="32">
        <v>41</v>
      </c>
      <c r="B36" s="32" t="s">
        <v>144</v>
      </c>
      <c r="C36" s="32" t="s">
        <v>140</v>
      </c>
      <c r="D36" s="32">
        <f t="shared" si="1"/>
        <v>0</v>
      </c>
      <c r="E36" s="32" t="s">
        <v>143</v>
      </c>
    </row>
    <row r="37" spans="1:5" x14ac:dyDescent="0.2">
      <c r="A37" s="32">
        <v>42</v>
      </c>
      <c r="B37" s="32" t="s">
        <v>142</v>
      </c>
      <c r="C37" s="32" t="s">
        <v>140</v>
      </c>
      <c r="D37" s="32">
        <f t="shared" si="1"/>
        <v>0</v>
      </c>
      <c r="E37" s="32" t="s">
        <v>141</v>
      </c>
    </row>
    <row r="38" spans="1:5" x14ac:dyDescent="0.2">
      <c r="A38" s="32" t="s">
        <v>139</v>
      </c>
      <c r="B38" s="32" t="s">
        <v>94</v>
      </c>
      <c r="C38" s="32" t="s">
        <v>90</v>
      </c>
      <c r="D38" s="32">
        <f t="shared" si="1"/>
        <v>0</v>
      </c>
      <c r="E38" s="32" t="s">
        <v>93</v>
      </c>
    </row>
    <row r="39" spans="1:5" x14ac:dyDescent="0.2">
      <c r="A39" s="32">
        <v>49</v>
      </c>
      <c r="B39" s="32" t="s">
        <v>138</v>
      </c>
      <c r="C39" s="32" t="s">
        <v>100</v>
      </c>
      <c r="D39" s="32">
        <f t="shared" si="1"/>
        <v>1</v>
      </c>
      <c r="E39" s="32" t="s">
        <v>137</v>
      </c>
    </row>
    <row r="40" spans="1:5" x14ac:dyDescent="0.2">
      <c r="A40" s="32">
        <v>50</v>
      </c>
      <c r="B40" s="32" t="s">
        <v>136</v>
      </c>
      <c r="C40" s="32" t="s">
        <v>108</v>
      </c>
      <c r="D40" s="32">
        <f t="shared" si="1"/>
        <v>1</v>
      </c>
      <c r="E40" s="32" t="s">
        <v>135</v>
      </c>
    </row>
    <row r="41" spans="1:5" x14ac:dyDescent="0.2">
      <c r="A41" s="32">
        <v>51</v>
      </c>
      <c r="B41" s="32" t="s">
        <v>134</v>
      </c>
      <c r="C41" s="32" t="s">
        <v>132</v>
      </c>
      <c r="D41" s="32">
        <f t="shared" si="1"/>
        <v>0</v>
      </c>
      <c r="E41" s="32" t="s">
        <v>133</v>
      </c>
    </row>
    <row r="42" spans="1:5" x14ac:dyDescent="0.2">
      <c r="A42" s="32">
        <v>52</v>
      </c>
      <c r="B42" s="32" t="s">
        <v>131</v>
      </c>
      <c r="C42" s="32" t="s">
        <v>108</v>
      </c>
      <c r="D42" s="32">
        <f t="shared" si="1"/>
        <v>1</v>
      </c>
      <c r="E42" s="32" t="s">
        <v>130</v>
      </c>
    </row>
    <row r="43" spans="1:5" x14ac:dyDescent="0.2">
      <c r="A43" s="32">
        <v>53</v>
      </c>
      <c r="B43" s="32" t="s">
        <v>129</v>
      </c>
      <c r="C43" s="32" t="s">
        <v>108</v>
      </c>
      <c r="D43" s="32">
        <f t="shared" si="1"/>
        <v>1</v>
      </c>
      <c r="E43" s="32" t="s">
        <v>128</v>
      </c>
    </row>
    <row r="44" spans="1:5" x14ac:dyDescent="0.2">
      <c r="A44" s="32">
        <v>54</v>
      </c>
      <c r="B44" s="32" t="s">
        <v>127</v>
      </c>
      <c r="C44" s="32" t="s">
        <v>90</v>
      </c>
      <c r="D44" s="32">
        <f t="shared" si="1"/>
        <v>0</v>
      </c>
      <c r="E44" s="32" t="s">
        <v>126</v>
      </c>
    </row>
    <row r="45" spans="1:5" x14ac:dyDescent="0.2">
      <c r="A45" s="32">
        <v>55</v>
      </c>
      <c r="B45" s="32" t="s">
        <v>125</v>
      </c>
      <c r="C45" s="32" t="s">
        <v>90</v>
      </c>
      <c r="D45" s="32">
        <f t="shared" si="1"/>
        <v>0</v>
      </c>
      <c r="E45" s="32" t="s">
        <v>124</v>
      </c>
    </row>
    <row r="46" spans="1:5" x14ac:dyDescent="0.2">
      <c r="A46" s="32">
        <v>56</v>
      </c>
      <c r="B46" s="32" t="s">
        <v>123</v>
      </c>
      <c r="C46" s="32" t="s">
        <v>90</v>
      </c>
      <c r="D46" s="32">
        <f t="shared" si="1"/>
        <v>0</v>
      </c>
      <c r="E46" s="32" t="s">
        <v>122</v>
      </c>
    </row>
    <row r="47" spans="1:5" x14ac:dyDescent="0.2">
      <c r="A47" s="32">
        <v>57</v>
      </c>
      <c r="B47" s="32" t="s">
        <v>121</v>
      </c>
      <c r="C47" s="32" t="s">
        <v>108</v>
      </c>
      <c r="D47" s="32">
        <f t="shared" si="1"/>
        <v>1</v>
      </c>
      <c r="E47" s="32" t="s">
        <v>120</v>
      </c>
    </row>
    <row r="48" spans="1:5" x14ac:dyDescent="0.2">
      <c r="A48" s="32">
        <v>58</v>
      </c>
      <c r="B48" s="32" t="s">
        <v>119</v>
      </c>
      <c r="C48" s="32" t="s">
        <v>108</v>
      </c>
      <c r="D48" s="32">
        <f t="shared" si="1"/>
        <v>1</v>
      </c>
      <c r="E48" s="32" t="s">
        <v>118</v>
      </c>
    </row>
    <row r="49" spans="1:5" x14ac:dyDescent="0.2">
      <c r="A49" s="32">
        <v>59</v>
      </c>
      <c r="B49" s="32" t="s">
        <v>94</v>
      </c>
      <c r="C49" s="32" t="s">
        <v>90</v>
      </c>
      <c r="D49" s="32">
        <f t="shared" si="1"/>
        <v>0</v>
      </c>
      <c r="E49" s="32" t="s">
        <v>93</v>
      </c>
    </row>
    <row r="50" spans="1:5" x14ac:dyDescent="0.2">
      <c r="A50" s="32">
        <v>60</v>
      </c>
      <c r="B50" s="32" t="s">
        <v>117</v>
      </c>
      <c r="C50" s="32" t="s">
        <v>90</v>
      </c>
      <c r="D50" s="32">
        <f t="shared" si="1"/>
        <v>0</v>
      </c>
      <c r="E50" s="32" t="s">
        <v>116</v>
      </c>
    </row>
    <row r="51" spans="1:5" x14ac:dyDescent="0.2">
      <c r="A51" s="32">
        <v>61</v>
      </c>
      <c r="B51" s="32" t="s">
        <v>115</v>
      </c>
      <c r="C51" s="32" t="s">
        <v>90</v>
      </c>
      <c r="D51" s="32">
        <f t="shared" si="1"/>
        <v>0</v>
      </c>
      <c r="E51" s="32" t="s">
        <v>114</v>
      </c>
    </row>
    <row r="52" spans="1:5" x14ac:dyDescent="0.2">
      <c r="A52" s="32">
        <v>62</v>
      </c>
      <c r="B52" s="32" t="s">
        <v>113</v>
      </c>
      <c r="C52" s="32" t="s">
        <v>108</v>
      </c>
      <c r="D52" s="32">
        <f t="shared" si="1"/>
        <v>1</v>
      </c>
      <c r="E52" s="32" t="s">
        <v>112</v>
      </c>
    </row>
    <row r="53" spans="1:5" x14ac:dyDescent="0.2">
      <c r="A53" s="32" t="s">
        <v>111</v>
      </c>
      <c r="B53" s="32" t="s">
        <v>94</v>
      </c>
      <c r="C53" s="32" t="s">
        <v>90</v>
      </c>
      <c r="D53" s="32">
        <f t="shared" si="1"/>
        <v>0</v>
      </c>
      <c r="E53" s="32" t="s">
        <v>93</v>
      </c>
    </row>
    <row r="54" spans="1:5" x14ac:dyDescent="0.2">
      <c r="A54" s="32">
        <v>65</v>
      </c>
      <c r="B54" s="32" t="s">
        <v>110</v>
      </c>
      <c r="C54" s="32" t="s">
        <v>108</v>
      </c>
      <c r="D54" s="32">
        <f t="shared" si="1"/>
        <v>1</v>
      </c>
      <c r="E54" s="32" t="s">
        <v>109</v>
      </c>
    </row>
    <row r="55" spans="1:5" x14ac:dyDescent="0.2">
      <c r="A55" s="32">
        <v>66</v>
      </c>
      <c r="B55" s="32" t="s">
        <v>107</v>
      </c>
      <c r="C55" s="32" t="s">
        <v>90</v>
      </c>
      <c r="D55" s="32">
        <f t="shared" si="1"/>
        <v>0</v>
      </c>
      <c r="E55" s="32" t="s">
        <v>106</v>
      </c>
    </row>
    <row r="56" spans="1:5" x14ac:dyDescent="0.2">
      <c r="A56" s="32" t="s">
        <v>105</v>
      </c>
      <c r="B56" s="32" t="s">
        <v>94</v>
      </c>
      <c r="C56" s="32" t="s">
        <v>90</v>
      </c>
      <c r="D56" s="32">
        <f t="shared" si="1"/>
        <v>0</v>
      </c>
      <c r="E56" s="32" t="s">
        <v>93</v>
      </c>
    </row>
    <row r="57" spans="1:5" x14ac:dyDescent="0.2">
      <c r="A57" s="32">
        <v>71</v>
      </c>
      <c r="B57" s="32" t="s">
        <v>104</v>
      </c>
      <c r="C57" s="32" t="s">
        <v>100</v>
      </c>
      <c r="D57" s="32">
        <f t="shared" si="1"/>
        <v>1</v>
      </c>
      <c r="E57" s="32" t="s">
        <v>103</v>
      </c>
    </row>
    <row r="58" spans="1:5" x14ac:dyDescent="0.2">
      <c r="A58" s="32">
        <v>72</v>
      </c>
      <c r="B58" s="32" t="s">
        <v>102</v>
      </c>
      <c r="C58" s="32" t="s">
        <v>100</v>
      </c>
      <c r="D58" s="32">
        <f t="shared" si="1"/>
        <v>1</v>
      </c>
      <c r="E58" s="32" t="s">
        <v>101</v>
      </c>
    </row>
    <row r="59" spans="1:5" x14ac:dyDescent="0.2">
      <c r="A59" s="32" t="s">
        <v>99</v>
      </c>
      <c r="B59" s="32" t="s">
        <v>94</v>
      </c>
      <c r="C59" s="32" t="s">
        <v>90</v>
      </c>
      <c r="D59" s="32">
        <f t="shared" si="1"/>
        <v>0</v>
      </c>
      <c r="E59" s="32" t="s">
        <v>93</v>
      </c>
    </row>
    <row r="60" spans="1:5" x14ac:dyDescent="0.2">
      <c r="A60" s="32">
        <v>81</v>
      </c>
      <c r="B60" s="32" t="s">
        <v>98</v>
      </c>
      <c r="C60" s="32" t="s">
        <v>96</v>
      </c>
      <c r="D60" s="32">
        <f t="shared" si="1"/>
        <v>0</v>
      </c>
      <c r="E60" s="32" t="s">
        <v>97</v>
      </c>
    </row>
    <row r="61" spans="1:5" x14ac:dyDescent="0.2">
      <c r="A61" s="32" t="s">
        <v>95</v>
      </c>
      <c r="B61" s="32" t="s">
        <v>94</v>
      </c>
      <c r="C61" s="32" t="s">
        <v>90</v>
      </c>
      <c r="D61" s="32">
        <f t="shared" si="1"/>
        <v>0</v>
      </c>
      <c r="E61" s="32" t="s">
        <v>93</v>
      </c>
    </row>
    <row r="62" spans="1:5" x14ac:dyDescent="0.2">
      <c r="A62" s="32">
        <v>99</v>
      </c>
      <c r="B62" s="32" t="s">
        <v>92</v>
      </c>
      <c r="C62" s="32" t="s">
        <v>90</v>
      </c>
      <c r="D62" s="32">
        <f t="shared" si="1"/>
        <v>0</v>
      </c>
      <c r="E62" s="32" t="s">
        <v>91</v>
      </c>
    </row>
  </sheetData>
  <autoFilter ref="A2:E62" xr:uid="{E1CCB439-D973-754F-A994-75301B2B9D88}"/>
  <mergeCells count="1">
    <mergeCell ref="A1:C1"/>
  </mergeCells>
  <conditionalFormatting sqref="A1 D1:E1 A2:E1048576">
    <cfRule type="expression" dxfId="0" priority="1">
      <formula>IF($D1=1,1,0)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BoneMarrowFailure_BMF</vt:lpstr>
      <vt:lpstr>PreTreatmentVariables</vt:lpstr>
      <vt:lpstr>OngoingTreatmentVariables </vt:lpstr>
      <vt:lpstr>CCI</vt:lpstr>
      <vt:lpstr>POSCodes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Jason Jones</cp:lastModifiedBy>
  <dcterms:modified xsi:type="dcterms:W3CDTF">2025-11-06T17:02:00Z</dcterms:modified>
</cp:coreProperties>
</file>